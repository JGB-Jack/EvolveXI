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mie\Desktop\"/>
    </mc:Choice>
  </mc:AlternateContent>
  <xr:revisionPtr revIDLastSave="0" documentId="8_{A624E252-C6F4-4FB2-98E1-5FFD015EB934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Guide" sheetId="1" r:id="rId1"/>
    <sheet name="Question Bank" sheetId="2" r:id="rId2"/>
  </sheets>
  <definedNames>
    <definedName name="_xlnm._FilterDatabase" localSheetId="1" hidden="1">'Question Bank'!$A$1:$O$217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217" i="2" l="1"/>
  <c r="S217" i="2"/>
  <c r="R217" i="2"/>
  <c r="Q217" i="2"/>
  <c r="P217" i="2"/>
  <c r="M217" i="2" s="1"/>
  <c r="N217" i="2" s="1"/>
  <c r="T216" i="2"/>
  <c r="S216" i="2"/>
  <c r="R216" i="2"/>
  <c r="Q216" i="2"/>
  <c r="P216" i="2"/>
  <c r="M216" i="2" s="1"/>
  <c r="N216" i="2" s="1"/>
  <c r="T215" i="2"/>
  <c r="S215" i="2"/>
  <c r="R215" i="2"/>
  <c r="Q215" i="2"/>
  <c r="P215" i="2"/>
  <c r="M215" i="2" s="1"/>
  <c r="N215" i="2" s="1"/>
  <c r="T214" i="2"/>
  <c r="S214" i="2"/>
  <c r="R214" i="2"/>
  <c r="Q214" i="2"/>
  <c r="P214" i="2"/>
  <c r="M214" i="2" s="1"/>
  <c r="N214" i="2" s="1"/>
  <c r="T213" i="2"/>
  <c r="S213" i="2"/>
  <c r="R213" i="2"/>
  <c r="Q213" i="2"/>
  <c r="P213" i="2"/>
  <c r="M213" i="2" s="1"/>
  <c r="N213" i="2" s="1"/>
  <c r="T212" i="2"/>
  <c r="S212" i="2"/>
  <c r="R212" i="2"/>
  <c r="Q212" i="2"/>
  <c r="M212" i="2" s="1"/>
  <c r="N212" i="2" s="1"/>
  <c r="P212" i="2"/>
  <c r="T211" i="2"/>
  <c r="S211" i="2"/>
  <c r="R211" i="2"/>
  <c r="Q211" i="2"/>
  <c r="P211" i="2"/>
  <c r="M211" i="2" s="1"/>
  <c r="N211" i="2" s="1"/>
  <c r="T210" i="2"/>
  <c r="S210" i="2"/>
  <c r="R210" i="2"/>
  <c r="Q210" i="2"/>
  <c r="M210" i="2" s="1"/>
  <c r="N210" i="2" s="1"/>
  <c r="P210" i="2"/>
  <c r="T209" i="2"/>
  <c r="S209" i="2"/>
  <c r="R209" i="2"/>
  <c r="Q209" i="2"/>
  <c r="P209" i="2"/>
  <c r="M209" i="2"/>
  <c r="N209" i="2" s="1"/>
  <c r="T208" i="2"/>
  <c r="S208" i="2"/>
  <c r="R208" i="2"/>
  <c r="Q208" i="2"/>
  <c r="P208" i="2"/>
  <c r="M208" i="2" s="1"/>
  <c r="N208" i="2" s="1"/>
  <c r="T207" i="2"/>
  <c r="S207" i="2"/>
  <c r="R207" i="2"/>
  <c r="Q207" i="2"/>
  <c r="P207" i="2"/>
  <c r="M207" i="2" s="1"/>
  <c r="N207" i="2" s="1"/>
  <c r="T206" i="2"/>
  <c r="S206" i="2"/>
  <c r="R206" i="2"/>
  <c r="Q206" i="2"/>
  <c r="P206" i="2"/>
  <c r="M206" i="2" s="1"/>
  <c r="N206" i="2" s="1"/>
  <c r="T205" i="2"/>
  <c r="S205" i="2"/>
  <c r="R205" i="2"/>
  <c r="Q205" i="2"/>
  <c r="P205" i="2"/>
  <c r="M205" i="2" s="1"/>
  <c r="N205" i="2" s="1"/>
  <c r="T204" i="2"/>
  <c r="S204" i="2"/>
  <c r="R204" i="2"/>
  <c r="Q204" i="2"/>
  <c r="P204" i="2"/>
  <c r="M204" i="2" s="1"/>
  <c r="N204" i="2" s="1"/>
  <c r="T203" i="2"/>
  <c r="S203" i="2"/>
  <c r="R203" i="2"/>
  <c r="Q203" i="2"/>
  <c r="P203" i="2"/>
  <c r="M203" i="2" s="1"/>
  <c r="N203" i="2" s="1"/>
  <c r="T202" i="2"/>
  <c r="S202" i="2"/>
  <c r="R202" i="2"/>
  <c r="Q202" i="2"/>
  <c r="P202" i="2"/>
  <c r="M202" i="2" s="1"/>
  <c r="N202" i="2" s="1"/>
  <c r="T201" i="2"/>
  <c r="S201" i="2"/>
  <c r="R201" i="2"/>
  <c r="Q201" i="2"/>
  <c r="P201" i="2"/>
  <c r="M201" i="2"/>
  <c r="N201" i="2" s="1"/>
  <c r="T200" i="2"/>
  <c r="S200" i="2"/>
  <c r="R200" i="2"/>
  <c r="Q200" i="2"/>
  <c r="P200" i="2"/>
  <c r="M200" i="2" s="1"/>
  <c r="N200" i="2" s="1"/>
  <c r="T199" i="2"/>
  <c r="S199" i="2"/>
  <c r="R199" i="2"/>
  <c r="Q199" i="2"/>
  <c r="P199" i="2"/>
  <c r="M199" i="2" s="1"/>
  <c r="N199" i="2" s="1"/>
  <c r="T198" i="2"/>
  <c r="S198" i="2"/>
  <c r="R198" i="2"/>
  <c r="Q198" i="2"/>
  <c r="P198" i="2"/>
  <c r="M198" i="2" s="1"/>
  <c r="N198" i="2" s="1"/>
  <c r="T197" i="2"/>
  <c r="S197" i="2"/>
  <c r="R197" i="2"/>
  <c r="Q197" i="2"/>
  <c r="P197" i="2"/>
  <c r="M197" i="2" s="1"/>
  <c r="N197" i="2" s="1"/>
  <c r="T196" i="2"/>
  <c r="S196" i="2"/>
  <c r="R196" i="2"/>
  <c r="Q196" i="2"/>
  <c r="P196" i="2"/>
  <c r="M196" i="2" s="1"/>
  <c r="N196" i="2" s="1"/>
  <c r="T195" i="2"/>
  <c r="S195" i="2"/>
  <c r="R195" i="2"/>
  <c r="Q195" i="2"/>
  <c r="P195" i="2"/>
  <c r="M195" i="2" s="1"/>
  <c r="N195" i="2" s="1"/>
  <c r="T194" i="2"/>
  <c r="S194" i="2"/>
  <c r="R194" i="2"/>
  <c r="Q194" i="2"/>
  <c r="P194" i="2"/>
  <c r="M194" i="2" s="1"/>
  <c r="N194" i="2" s="1"/>
  <c r="T193" i="2"/>
  <c r="S193" i="2"/>
  <c r="R193" i="2"/>
  <c r="Q193" i="2"/>
  <c r="P193" i="2"/>
  <c r="M193" i="2"/>
  <c r="N193" i="2" s="1"/>
  <c r="T192" i="2"/>
  <c r="S192" i="2"/>
  <c r="R192" i="2"/>
  <c r="Q192" i="2"/>
  <c r="P192" i="2"/>
  <c r="M192" i="2" s="1"/>
  <c r="N192" i="2" s="1"/>
  <c r="T191" i="2"/>
  <c r="S191" i="2"/>
  <c r="R191" i="2"/>
  <c r="Q191" i="2"/>
  <c r="P191" i="2"/>
  <c r="M191" i="2" s="1"/>
  <c r="N191" i="2" s="1"/>
  <c r="T190" i="2"/>
  <c r="S190" i="2"/>
  <c r="R190" i="2"/>
  <c r="Q190" i="2"/>
  <c r="P190" i="2"/>
  <c r="M190" i="2" s="1"/>
  <c r="N190" i="2" s="1"/>
  <c r="T189" i="2"/>
  <c r="S189" i="2"/>
  <c r="R189" i="2"/>
  <c r="Q189" i="2"/>
  <c r="P189" i="2"/>
  <c r="M189" i="2" s="1"/>
  <c r="N189" i="2" s="1"/>
  <c r="T188" i="2"/>
  <c r="S188" i="2"/>
  <c r="R188" i="2"/>
  <c r="Q188" i="2"/>
  <c r="M188" i="2" s="1"/>
  <c r="N188" i="2" s="1"/>
  <c r="P188" i="2"/>
  <c r="T187" i="2"/>
  <c r="S187" i="2"/>
  <c r="R187" i="2"/>
  <c r="Q187" i="2"/>
  <c r="P187" i="2"/>
  <c r="M187" i="2" s="1"/>
  <c r="N187" i="2" s="1"/>
  <c r="T186" i="2"/>
  <c r="S186" i="2"/>
  <c r="R186" i="2"/>
  <c r="Q186" i="2"/>
  <c r="P186" i="2"/>
  <c r="M186" i="2" s="1"/>
  <c r="N186" i="2" s="1"/>
  <c r="T185" i="2"/>
  <c r="S185" i="2"/>
  <c r="R185" i="2"/>
  <c r="Q185" i="2"/>
  <c r="P185" i="2"/>
  <c r="M185" i="2"/>
  <c r="N185" i="2" s="1"/>
  <c r="T184" i="2"/>
  <c r="S184" i="2"/>
  <c r="R184" i="2"/>
  <c r="Q184" i="2"/>
  <c r="P184" i="2"/>
  <c r="M184" i="2" s="1"/>
  <c r="N184" i="2" s="1"/>
  <c r="T183" i="2"/>
  <c r="S183" i="2"/>
  <c r="R183" i="2"/>
  <c r="Q183" i="2"/>
  <c r="P183" i="2"/>
  <c r="M183" i="2" s="1"/>
  <c r="N183" i="2" s="1"/>
  <c r="T182" i="2"/>
  <c r="S182" i="2"/>
  <c r="R182" i="2"/>
  <c r="Q182" i="2"/>
  <c r="P182" i="2"/>
  <c r="M182" i="2" s="1"/>
  <c r="N182" i="2" s="1"/>
  <c r="T181" i="2"/>
  <c r="S181" i="2"/>
  <c r="R181" i="2"/>
  <c r="Q181" i="2"/>
  <c r="P181" i="2"/>
  <c r="M181" i="2" s="1"/>
  <c r="N181" i="2" s="1"/>
  <c r="T180" i="2"/>
  <c r="S180" i="2"/>
  <c r="R180" i="2"/>
  <c r="Q180" i="2"/>
  <c r="M180" i="2" s="1"/>
  <c r="N180" i="2" s="1"/>
  <c r="P180" i="2"/>
  <c r="T179" i="2"/>
  <c r="S179" i="2"/>
  <c r="R179" i="2"/>
  <c r="Q179" i="2"/>
  <c r="P179" i="2"/>
  <c r="M179" i="2" s="1"/>
  <c r="N179" i="2" s="1"/>
  <c r="T178" i="2"/>
  <c r="S178" i="2"/>
  <c r="R178" i="2"/>
  <c r="Q178" i="2"/>
  <c r="P178" i="2"/>
  <c r="M178" i="2" s="1"/>
  <c r="N178" i="2" s="1"/>
  <c r="T177" i="2"/>
  <c r="S177" i="2"/>
  <c r="R177" i="2"/>
  <c r="Q177" i="2"/>
  <c r="P177" i="2"/>
  <c r="M177" i="2"/>
  <c r="N177" i="2" s="1"/>
  <c r="T176" i="2"/>
  <c r="S176" i="2"/>
  <c r="R176" i="2"/>
  <c r="Q176" i="2"/>
  <c r="P176" i="2"/>
  <c r="M176" i="2" s="1"/>
  <c r="N176" i="2" s="1"/>
  <c r="T175" i="2"/>
  <c r="S175" i="2"/>
  <c r="R175" i="2"/>
  <c r="Q175" i="2"/>
  <c r="P175" i="2"/>
  <c r="M175" i="2" s="1"/>
  <c r="N175" i="2" s="1"/>
  <c r="T174" i="2"/>
  <c r="S174" i="2"/>
  <c r="R174" i="2"/>
  <c r="Q174" i="2"/>
  <c r="P174" i="2"/>
  <c r="M174" i="2" s="1"/>
  <c r="N174" i="2" s="1"/>
  <c r="T173" i="2"/>
  <c r="S173" i="2"/>
  <c r="R173" i="2"/>
  <c r="Q173" i="2"/>
  <c r="P173" i="2"/>
  <c r="M173" i="2" s="1"/>
  <c r="N173" i="2" s="1"/>
  <c r="T172" i="2"/>
  <c r="S172" i="2"/>
  <c r="R172" i="2"/>
  <c r="Q172" i="2"/>
  <c r="M172" i="2" s="1"/>
  <c r="N172" i="2" s="1"/>
  <c r="P172" i="2"/>
  <c r="T171" i="2"/>
  <c r="S171" i="2"/>
  <c r="R171" i="2"/>
  <c r="Q171" i="2"/>
  <c r="P171" i="2"/>
  <c r="M171" i="2" s="1"/>
  <c r="N171" i="2" s="1"/>
  <c r="T170" i="2"/>
  <c r="S170" i="2"/>
  <c r="R170" i="2"/>
  <c r="Q170" i="2"/>
  <c r="P170" i="2"/>
  <c r="M170" i="2" s="1"/>
  <c r="N170" i="2" s="1"/>
  <c r="T169" i="2"/>
  <c r="S169" i="2"/>
  <c r="R169" i="2"/>
  <c r="Q169" i="2"/>
  <c r="P169" i="2"/>
  <c r="M169" i="2"/>
  <c r="N169" i="2" s="1"/>
  <c r="T168" i="2"/>
  <c r="S168" i="2"/>
  <c r="R168" i="2"/>
  <c r="Q168" i="2"/>
  <c r="P168" i="2"/>
  <c r="M168" i="2" s="1"/>
  <c r="N168" i="2" s="1"/>
  <c r="T167" i="2"/>
  <c r="S167" i="2"/>
  <c r="R167" i="2"/>
  <c r="Q167" i="2"/>
  <c r="P167" i="2"/>
  <c r="M167" i="2" s="1"/>
  <c r="N167" i="2" s="1"/>
  <c r="T166" i="2"/>
  <c r="S166" i="2"/>
  <c r="R166" i="2"/>
  <c r="Q166" i="2"/>
  <c r="P166" i="2"/>
  <c r="M166" i="2" s="1"/>
  <c r="N166" i="2" s="1"/>
  <c r="T165" i="2"/>
  <c r="S165" i="2"/>
  <c r="R165" i="2"/>
  <c r="Q165" i="2"/>
  <c r="P165" i="2"/>
  <c r="M165" i="2" s="1"/>
  <c r="N165" i="2" s="1"/>
  <c r="T164" i="2"/>
  <c r="S164" i="2"/>
  <c r="R164" i="2"/>
  <c r="Q164" i="2"/>
  <c r="M164" i="2" s="1"/>
  <c r="N164" i="2" s="1"/>
  <c r="P164" i="2"/>
  <c r="T163" i="2"/>
  <c r="S163" i="2"/>
  <c r="R163" i="2"/>
  <c r="Q163" i="2"/>
  <c r="P163" i="2"/>
  <c r="M163" i="2" s="1"/>
  <c r="N163" i="2" s="1"/>
  <c r="T162" i="2"/>
  <c r="S162" i="2"/>
  <c r="R162" i="2"/>
  <c r="Q162" i="2"/>
  <c r="P162" i="2"/>
  <c r="M162" i="2" s="1"/>
  <c r="N162" i="2" s="1"/>
  <c r="T161" i="2"/>
  <c r="S161" i="2"/>
  <c r="R161" i="2"/>
  <c r="Q161" i="2"/>
  <c r="P161" i="2"/>
  <c r="M161" i="2"/>
  <c r="N161" i="2" s="1"/>
  <c r="T160" i="2"/>
  <c r="S160" i="2"/>
  <c r="R160" i="2"/>
  <c r="Q160" i="2"/>
  <c r="P160" i="2"/>
  <c r="M160" i="2" s="1"/>
  <c r="N160" i="2" s="1"/>
  <c r="T159" i="2"/>
  <c r="S159" i="2"/>
  <c r="R159" i="2"/>
  <c r="Q159" i="2"/>
  <c r="P159" i="2"/>
  <c r="M159" i="2" s="1"/>
  <c r="N159" i="2" s="1"/>
  <c r="T158" i="2"/>
  <c r="S158" i="2"/>
  <c r="R158" i="2"/>
  <c r="Q158" i="2"/>
  <c r="P158" i="2"/>
  <c r="M158" i="2" s="1"/>
  <c r="N158" i="2" s="1"/>
  <c r="T157" i="2"/>
  <c r="S157" i="2"/>
  <c r="R157" i="2"/>
  <c r="Q157" i="2"/>
  <c r="P157" i="2"/>
  <c r="M157" i="2" s="1"/>
  <c r="N157" i="2" s="1"/>
  <c r="T156" i="2"/>
  <c r="S156" i="2"/>
  <c r="R156" i="2"/>
  <c r="Q156" i="2"/>
  <c r="M156" i="2" s="1"/>
  <c r="N156" i="2" s="1"/>
  <c r="P156" i="2"/>
  <c r="T155" i="2"/>
  <c r="S155" i="2"/>
  <c r="R155" i="2"/>
  <c r="Q155" i="2"/>
  <c r="P155" i="2"/>
  <c r="M155" i="2" s="1"/>
  <c r="N155" i="2" s="1"/>
  <c r="T154" i="2"/>
  <c r="S154" i="2"/>
  <c r="R154" i="2"/>
  <c r="Q154" i="2"/>
  <c r="P154" i="2"/>
  <c r="M154" i="2" s="1"/>
  <c r="N154" i="2" s="1"/>
  <c r="T153" i="2"/>
  <c r="S153" i="2"/>
  <c r="R153" i="2"/>
  <c r="Q153" i="2"/>
  <c r="P153" i="2"/>
  <c r="M153" i="2"/>
  <c r="N153" i="2" s="1"/>
  <c r="T152" i="2"/>
  <c r="S152" i="2"/>
  <c r="R152" i="2"/>
  <c r="Q152" i="2"/>
  <c r="P152" i="2"/>
  <c r="M152" i="2" s="1"/>
  <c r="N152" i="2" s="1"/>
  <c r="T151" i="2"/>
  <c r="S151" i="2"/>
  <c r="R151" i="2"/>
  <c r="Q151" i="2"/>
  <c r="P151" i="2"/>
  <c r="M151" i="2" s="1"/>
  <c r="N151" i="2" s="1"/>
  <c r="T150" i="2"/>
  <c r="S150" i="2"/>
  <c r="R150" i="2"/>
  <c r="Q150" i="2"/>
  <c r="P150" i="2"/>
  <c r="M150" i="2" s="1"/>
  <c r="N150" i="2" s="1"/>
  <c r="T149" i="2"/>
  <c r="S149" i="2"/>
  <c r="R149" i="2"/>
  <c r="Q149" i="2"/>
  <c r="P149" i="2"/>
  <c r="M149" i="2" s="1"/>
  <c r="N149" i="2" s="1"/>
  <c r="T148" i="2"/>
  <c r="S148" i="2"/>
  <c r="R148" i="2"/>
  <c r="Q148" i="2"/>
  <c r="M148" i="2" s="1"/>
  <c r="N148" i="2" s="1"/>
  <c r="P148" i="2"/>
  <c r="T147" i="2"/>
  <c r="S147" i="2"/>
  <c r="R147" i="2"/>
  <c r="Q147" i="2"/>
  <c r="P147" i="2"/>
  <c r="M147" i="2" s="1"/>
  <c r="N147" i="2" s="1"/>
  <c r="T146" i="2"/>
  <c r="S146" i="2"/>
  <c r="R146" i="2"/>
  <c r="Q146" i="2"/>
  <c r="P146" i="2"/>
  <c r="M146" i="2" s="1"/>
  <c r="N146" i="2" s="1"/>
  <c r="T145" i="2"/>
  <c r="S145" i="2"/>
  <c r="R145" i="2"/>
  <c r="Q145" i="2"/>
  <c r="P145" i="2"/>
  <c r="M145" i="2"/>
  <c r="N145" i="2" s="1"/>
  <c r="T144" i="2"/>
  <c r="S144" i="2"/>
  <c r="R144" i="2"/>
  <c r="Q144" i="2"/>
  <c r="P144" i="2"/>
  <c r="M144" i="2" s="1"/>
  <c r="N144" i="2" s="1"/>
  <c r="T143" i="2"/>
  <c r="S143" i="2"/>
  <c r="R143" i="2"/>
  <c r="Q143" i="2"/>
  <c r="P143" i="2"/>
  <c r="M143" i="2" s="1"/>
  <c r="N143" i="2" s="1"/>
  <c r="T142" i="2"/>
  <c r="S142" i="2"/>
  <c r="R142" i="2"/>
  <c r="Q142" i="2"/>
  <c r="P142" i="2"/>
  <c r="M142" i="2" s="1"/>
  <c r="N142" i="2" s="1"/>
  <c r="T141" i="2"/>
  <c r="S141" i="2"/>
  <c r="R141" i="2"/>
  <c r="Q141" i="2"/>
  <c r="P141" i="2"/>
  <c r="M141" i="2" s="1"/>
  <c r="N141" i="2" s="1"/>
  <c r="T140" i="2"/>
  <c r="S140" i="2"/>
  <c r="R140" i="2"/>
  <c r="Q140" i="2"/>
  <c r="M140" i="2" s="1"/>
  <c r="N140" i="2" s="1"/>
  <c r="P140" i="2"/>
  <c r="T139" i="2"/>
  <c r="S139" i="2"/>
  <c r="R139" i="2"/>
  <c r="Q139" i="2"/>
  <c r="P139" i="2"/>
  <c r="M139" i="2" s="1"/>
  <c r="N139" i="2" s="1"/>
  <c r="T138" i="2"/>
  <c r="S138" i="2"/>
  <c r="R138" i="2"/>
  <c r="Q138" i="2"/>
  <c r="P138" i="2"/>
  <c r="M138" i="2" s="1"/>
  <c r="N138" i="2" s="1"/>
  <c r="T137" i="2"/>
  <c r="S137" i="2"/>
  <c r="R137" i="2"/>
  <c r="Q137" i="2"/>
  <c r="P137" i="2"/>
  <c r="M137" i="2"/>
  <c r="N137" i="2" s="1"/>
  <c r="T136" i="2"/>
  <c r="S136" i="2"/>
  <c r="R136" i="2"/>
  <c r="Q136" i="2"/>
  <c r="P136" i="2"/>
  <c r="M136" i="2" s="1"/>
  <c r="N136" i="2" s="1"/>
  <c r="T135" i="2"/>
  <c r="S135" i="2"/>
  <c r="R135" i="2"/>
  <c r="Q135" i="2"/>
  <c r="P135" i="2"/>
  <c r="M135" i="2" s="1"/>
  <c r="N135" i="2" s="1"/>
  <c r="T134" i="2"/>
  <c r="S134" i="2"/>
  <c r="R134" i="2"/>
  <c r="Q134" i="2"/>
  <c r="P134" i="2"/>
  <c r="M134" i="2" s="1"/>
  <c r="N134" i="2" s="1"/>
  <c r="T133" i="2"/>
  <c r="S133" i="2"/>
  <c r="R133" i="2"/>
  <c r="Q133" i="2"/>
  <c r="P133" i="2"/>
  <c r="M133" i="2" s="1"/>
  <c r="N133" i="2" s="1"/>
  <c r="T132" i="2"/>
  <c r="S132" i="2"/>
  <c r="R132" i="2"/>
  <c r="Q132" i="2"/>
  <c r="M132" i="2" s="1"/>
  <c r="N132" i="2" s="1"/>
  <c r="P132" i="2"/>
  <c r="T131" i="2"/>
  <c r="S131" i="2"/>
  <c r="R131" i="2"/>
  <c r="Q131" i="2"/>
  <c r="P131" i="2"/>
  <c r="M131" i="2" s="1"/>
  <c r="N131" i="2" s="1"/>
  <c r="T130" i="2"/>
  <c r="S130" i="2"/>
  <c r="R130" i="2"/>
  <c r="Q130" i="2"/>
  <c r="P130" i="2"/>
  <c r="M130" i="2" s="1"/>
  <c r="N130" i="2" s="1"/>
  <c r="T129" i="2"/>
  <c r="S129" i="2"/>
  <c r="R129" i="2"/>
  <c r="Q129" i="2"/>
  <c r="P129" i="2"/>
  <c r="M129" i="2"/>
  <c r="N129" i="2" s="1"/>
  <c r="T128" i="2"/>
  <c r="S128" i="2"/>
  <c r="R128" i="2"/>
  <c r="Q128" i="2"/>
  <c r="P128" i="2"/>
  <c r="M128" i="2" s="1"/>
  <c r="N128" i="2" s="1"/>
  <c r="T127" i="2"/>
  <c r="S127" i="2"/>
  <c r="R127" i="2"/>
  <c r="Q127" i="2"/>
  <c r="P127" i="2"/>
  <c r="M127" i="2" s="1"/>
  <c r="N127" i="2" s="1"/>
  <c r="T126" i="2"/>
  <c r="S126" i="2"/>
  <c r="R126" i="2"/>
  <c r="Q126" i="2"/>
  <c r="P126" i="2"/>
  <c r="M126" i="2" s="1"/>
  <c r="N126" i="2" s="1"/>
  <c r="T125" i="2"/>
  <c r="S125" i="2"/>
  <c r="R125" i="2"/>
  <c r="Q125" i="2"/>
  <c r="P125" i="2"/>
  <c r="M125" i="2" s="1"/>
  <c r="N125" i="2" s="1"/>
  <c r="T124" i="2"/>
  <c r="S124" i="2"/>
  <c r="R124" i="2"/>
  <c r="Q124" i="2"/>
  <c r="M124" i="2" s="1"/>
  <c r="N124" i="2" s="1"/>
  <c r="P124" i="2"/>
  <c r="T123" i="2"/>
  <c r="S123" i="2"/>
  <c r="R123" i="2"/>
  <c r="Q123" i="2"/>
  <c r="P123" i="2"/>
  <c r="M123" i="2" s="1"/>
  <c r="N123" i="2" s="1"/>
  <c r="T122" i="2"/>
  <c r="S122" i="2"/>
  <c r="R122" i="2"/>
  <c r="Q122" i="2"/>
  <c r="P122" i="2"/>
  <c r="M122" i="2" s="1"/>
  <c r="N122" i="2" s="1"/>
  <c r="T121" i="2"/>
  <c r="S121" i="2"/>
  <c r="R121" i="2"/>
  <c r="Q121" i="2"/>
  <c r="P121" i="2"/>
  <c r="M121" i="2"/>
  <c r="N121" i="2" s="1"/>
  <c r="T120" i="2"/>
  <c r="S120" i="2"/>
  <c r="R120" i="2"/>
  <c r="Q120" i="2"/>
  <c r="P120" i="2"/>
  <c r="M120" i="2" s="1"/>
  <c r="N120" i="2" s="1"/>
  <c r="T119" i="2"/>
  <c r="S119" i="2"/>
  <c r="R119" i="2"/>
  <c r="Q119" i="2"/>
  <c r="P119" i="2"/>
  <c r="M119" i="2" s="1"/>
  <c r="N119" i="2" s="1"/>
  <c r="T118" i="2"/>
  <c r="S118" i="2"/>
  <c r="R118" i="2"/>
  <c r="Q118" i="2"/>
  <c r="P118" i="2"/>
  <c r="M118" i="2" s="1"/>
  <c r="N118" i="2" s="1"/>
  <c r="T117" i="2"/>
  <c r="S117" i="2"/>
  <c r="R117" i="2"/>
  <c r="Q117" i="2"/>
  <c r="P117" i="2"/>
  <c r="M117" i="2" s="1"/>
  <c r="N117" i="2" s="1"/>
  <c r="T116" i="2"/>
  <c r="S116" i="2"/>
  <c r="R116" i="2"/>
  <c r="Q116" i="2"/>
  <c r="M116" i="2" s="1"/>
  <c r="N116" i="2" s="1"/>
  <c r="P116" i="2"/>
  <c r="T115" i="2"/>
  <c r="S115" i="2"/>
  <c r="R115" i="2"/>
  <c r="Q115" i="2"/>
  <c r="P115" i="2"/>
  <c r="M115" i="2" s="1"/>
  <c r="N115" i="2" s="1"/>
  <c r="T114" i="2"/>
  <c r="S114" i="2"/>
  <c r="R114" i="2"/>
  <c r="Q114" i="2"/>
  <c r="P114" i="2"/>
  <c r="M114" i="2" s="1"/>
  <c r="N114" i="2" s="1"/>
  <c r="T113" i="2"/>
  <c r="S113" i="2"/>
  <c r="R113" i="2"/>
  <c r="Q113" i="2"/>
  <c r="P113" i="2"/>
  <c r="M113" i="2"/>
  <c r="N113" i="2" s="1"/>
  <c r="T112" i="2"/>
  <c r="S112" i="2"/>
  <c r="R112" i="2"/>
  <c r="Q112" i="2"/>
  <c r="P112" i="2"/>
  <c r="M112" i="2"/>
  <c r="N112" i="2" s="1"/>
  <c r="T111" i="2"/>
  <c r="S111" i="2"/>
  <c r="R111" i="2"/>
  <c r="Q111" i="2"/>
  <c r="P111" i="2"/>
  <c r="M111" i="2" s="1"/>
  <c r="N111" i="2" s="1"/>
  <c r="T110" i="2"/>
  <c r="S110" i="2"/>
  <c r="R110" i="2"/>
  <c r="Q110" i="2"/>
  <c r="P110" i="2"/>
  <c r="M110" i="2" s="1"/>
  <c r="N110" i="2" s="1"/>
  <c r="T109" i="2"/>
  <c r="S109" i="2"/>
  <c r="R109" i="2"/>
  <c r="Q109" i="2"/>
  <c r="P109" i="2"/>
  <c r="M109" i="2" s="1"/>
  <c r="N109" i="2" s="1"/>
  <c r="T108" i="2"/>
  <c r="S108" i="2"/>
  <c r="R108" i="2"/>
  <c r="Q108" i="2"/>
  <c r="M108" i="2" s="1"/>
  <c r="N108" i="2" s="1"/>
  <c r="P108" i="2"/>
  <c r="T107" i="2"/>
  <c r="S107" i="2"/>
  <c r="R107" i="2"/>
  <c r="Q107" i="2"/>
  <c r="P107" i="2"/>
  <c r="M107" i="2" s="1"/>
  <c r="N107" i="2" s="1"/>
  <c r="T106" i="2"/>
  <c r="S106" i="2"/>
  <c r="R106" i="2"/>
  <c r="Q106" i="2"/>
  <c r="P106" i="2"/>
  <c r="M106" i="2" s="1"/>
  <c r="N106" i="2" s="1"/>
  <c r="T105" i="2"/>
  <c r="S105" i="2"/>
  <c r="R105" i="2"/>
  <c r="Q105" i="2"/>
  <c r="P105" i="2"/>
  <c r="M105" i="2"/>
  <c r="N105" i="2" s="1"/>
  <c r="T104" i="2"/>
  <c r="S104" i="2"/>
  <c r="R104" i="2"/>
  <c r="Q104" i="2"/>
  <c r="P104" i="2"/>
  <c r="M104" i="2"/>
  <c r="N104" i="2" s="1"/>
  <c r="T103" i="2"/>
  <c r="S103" i="2"/>
  <c r="R103" i="2"/>
  <c r="Q103" i="2"/>
  <c r="P103" i="2"/>
  <c r="M103" i="2" s="1"/>
  <c r="N103" i="2" s="1"/>
  <c r="T102" i="2"/>
  <c r="S102" i="2"/>
  <c r="R102" i="2"/>
  <c r="Q102" i="2"/>
  <c r="P102" i="2"/>
  <c r="M102" i="2" s="1"/>
  <c r="N102" i="2" s="1"/>
  <c r="T101" i="2"/>
  <c r="S101" i="2"/>
  <c r="R101" i="2"/>
  <c r="Q101" i="2"/>
  <c r="P101" i="2"/>
  <c r="M101" i="2" s="1"/>
  <c r="N101" i="2" s="1"/>
  <c r="T100" i="2"/>
  <c r="S100" i="2"/>
  <c r="R100" i="2"/>
  <c r="Q100" i="2"/>
  <c r="M100" i="2" s="1"/>
  <c r="N100" i="2" s="1"/>
  <c r="P100" i="2"/>
  <c r="T99" i="2"/>
  <c r="S99" i="2"/>
  <c r="R99" i="2"/>
  <c r="Q99" i="2"/>
  <c r="P99" i="2"/>
  <c r="M99" i="2" s="1"/>
  <c r="N99" i="2" s="1"/>
  <c r="T98" i="2"/>
  <c r="S98" i="2"/>
  <c r="R98" i="2"/>
  <c r="Q98" i="2"/>
  <c r="P98" i="2"/>
  <c r="M98" i="2" s="1"/>
  <c r="N98" i="2" s="1"/>
  <c r="T97" i="2"/>
  <c r="S97" i="2"/>
  <c r="R97" i="2"/>
  <c r="Q97" i="2"/>
  <c r="P97" i="2"/>
  <c r="M97" i="2"/>
  <c r="N97" i="2" s="1"/>
  <c r="T96" i="2"/>
  <c r="S96" i="2"/>
  <c r="R96" i="2"/>
  <c r="Q96" i="2"/>
  <c r="P96" i="2"/>
  <c r="M96" i="2"/>
  <c r="N96" i="2" s="1"/>
  <c r="T95" i="2"/>
  <c r="S95" i="2"/>
  <c r="R95" i="2"/>
  <c r="Q95" i="2"/>
  <c r="P95" i="2"/>
  <c r="M95" i="2" s="1"/>
  <c r="N95" i="2" s="1"/>
  <c r="T94" i="2"/>
  <c r="S94" i="2"/>
  <c r="R94" i="2"/>
  <c r="Q94" i="2"/>
  <c r="P94" i="2"/>
  <c r="M94" i="2" s="1"/>
  <c r="N94" i="2" s="1"/>
  <c r="T93" i="2"/>
  <c r="S93" i="2"/>
  <c r="R93" i="2"/>
  <c r="Q93" i="2"/>
  <c r="P93" i="2"/>
  <c r="M93" i="2" s="1"/>
  <c r="N93" i="2" s="1"/>
  <c r="T92" i="2"/>
  <c r="S92" i="2"/>
  <c r="R92" i="2"/>
  <c r="Q92" i="2"/>
  <c r="M92" i="2" s="1"/>
  <c r="N92" i="2" s="1"/>
  <c r="P92" i="2"/>
  <c r="T91" i="2"/>
  <c r="S91" i="2"/>
  <c r="R91" i="2"/>
  <c r="Q91" i="2"/>
  <c r="P91" i="2"/>
  <c r="M91" i="2" s="1"/>
  <c r="N91" i="2" s="1"/>
  <c r="T90" i="2"/>
  <c r="S90" i="2"/>
  <c r="R90" i="2"/>
  <c r="Q90" i="2"/>
  <c r="P90" i="2"/>
  <c r="M90" i="2" s="1"/>
  <c r="N90" i="2" s="1"/>
  <c r="T89" i="2"/>
  <c r="S89" i="2"/>
  <c r="R89" i="2"/>
  <c r="Q89" i="2"/>
  <c r="P89" i="2"/>
  <c r="M89" i="2"/>
  <c r="N89" i="2" s="1"/>
  <c r="T88" i="2"/>
  <c r="S88" i="2"/>
  <c r="R88" i="2"/>
  <c r="Q88" i="2"/>
  <c r="P88" i="2"/>
  <c r="M88" i="2"/>
  <c r="N88" i="2" s="1"/>
  <c r="T87" i="2"/>
  <c r="S87" i="2"/>
  <c r="R87" i="2"/>
  <c r="Q87" i="2"/>
  <c r="P87" i="2"/>
  <c r="M87" i="2" s="1"/>
  <c r="N87" i="2" s="1"/>
  <c r="T86" i="2"/>
  <c r="S86" i="2"/>
  <c r="R86" i="2"/>
  <c r="Q86" i="2"/>
  <c r="P86" i="2"/>
  <c r="M86" i="2" s="1"/>
  <c r="N86" i="2" s="1"/>
  <c r="T85" i="2"/>
  <c r="S85" i="2"/>
  <c r="R85" i="2"/>
  <c r="Q85" i="2"/>
  <c r="P85" i="2"/>
  <c r="M85" i="2" s="1"/>
  <c r="N85" i="2" s="1"/>
  <c r="T84" i="2"/>
  <c r="S84" i="2"/>
  <c r="R84" i="2"/>
  <c r="Q84" i="2"/>
  <c r="M84" i="2" s="1"/>
  <c r="N84" i="2" s="1"/>
  <c r="P84" i="2"/>
  <c r="T83" i="2"/>
  <c r="S83" i="2"/>
  <c r="R83" i="2"/>
  <c r="Q83" i="2"/>
  <c r="P83" i="2"/>
  <c r="M83" i="2" s="1"/>
  <c r="N83" i="2" s="1"/>
  <c r="T82" i="2"/>
  <c r="S82" i="2"/>
  <c r="R82" i="2"/>
  <c r="Q82" i="2"/>
  <c r="P82" i="2"/>
  <c r="M82" i="2" s="1"/>
  <c r="N82" i="2" s="1"/>
  <c r="T81" i="2"/>
  <c r="S81" i="2"/>
  <c r="R81" i="2"/>
  <c r="Q81" i="2"/>
  <c r="P81" i="2"/>
  <c r="M81" i="2"/>
  <c r="N81" i="2" s="1"/>
  <c r="T80" i="2"/>
  <c r="S80" i="2"/>
  <c r="R80" i="2"/>
  <c r="Q80" i="2"/>
  <c r="P80" i="2"/>
  <c r="M80" i="2"/>
  <c r="N80" i="2" s="1"/>
  <c r="T79" i="2"/>
  <c r="S79" i="2"/>
  <c r="R79" i="2"/>
  <c r="Q79" i="2"/>
  <c r="P79" i="2"/>
  <c r="M79" i="2" s="1"/>
  <c r="N79" i="2" s="1"/>
  <c r="T78" i="2"/>
  <c r="S78" i="2"/>
  <c r="R78" i="2"/>
  <c r="Q78" i="2"/>
  <c r="P78" i="2"/>
  <c r="M78" i="2" s="1"/>
  <c r="N78" i="2" s="1"/>
  <c r="T77" i="2"/>
  <c r="S77" i="2"/>
  <c r="R77" i="2"/>
  <c r="Q77" i="2"/>
  <c r="P77" i="2"/>
  <c r="M77" i="2" s="1"/>
  <c r="N77" i="2" s="1"/>
  <c r="T76" i="2"/>
  <c r="S76" i="2"/>
  <c r="R76" i="2"/>
  <c r="Q76" i="2"/>
  <c r="M76" i="2" s="1"/>
  <c r="N76" i="2" s="1"/>
  <c r="P76" i="2"/>
  <c r="T75" i="2"/>
  <c r="S75" i="2"/>
  <c r="R75" i="2"/>
  <c r="Q75" i="2"/>
  <c r="P75" i="2"/>
  <c r="M75" i="2" s="1"/>
  <c r="N75" i="2" s="1"/>
  <c r="T74" i="2"/>
  <c r="S74" i="2"/>
  <c r="R74" i="2"/>
  <c r="Q74" i="2"/>
  <c r="P74" i="2"/>
  <c r="M74" i="2" s="1"/>
  <c r="N74" i="2" s="1"/>
  <c r="T73" i="2"/>
  <c r="S73" i="2"/>
  <c r="R73" i="2"/>
  <c r="Q73" i="2"/>
  <c r="P73" i="2"/>
  <c r="M73" i="2"/>
  <c r="N73" i="2" s="1"/>
  <c r="T72" i="2"/>
  <c r="S72" i="2"/>
  <c r="R72" i="2"/>
  <c r="Q72" i="2"/>
  <c r="P72" i="2"/>
  <c r="M72" i="2"/>
  <c r="N72" i="2" s="1"/>
  <c r="T71" i="2"/>
  <c r="S71" i="2"/>
  <c r="R71" i="2"/>
  <c r="Q71" i="2"/>
  <c r="P71" i="2"/>
  <c r="M71" i="2" s="1"/>
  <c r="N71" i="2" s="1"/>
  <c r="T70" i="2"/>
  <c r="S70" i="2"/>
  <c r="R70" i="2"/>
  <c r="Q70" i="2"/>
  <c r="P70" i="2"/>
  <c r="M70" i="2" s="1"/>
  <c r="N70" i="2" s="1"/>
  <c r="T69" i="2"/>
  <c r="S69" i="2"/>
  <c r="R69" i="2"/>
  <c r="Q69" i="2"/>
  <c r="P69" i="2"/>
  <c r="M69" i="2" s="1"/>
  <c r="N69" i="2" s="1"/>
  <c r="T68" i="2"/>
  <c r="S68" i="2"/>
  <c r="R68" i="2"/>
  <c r="Q68" i="2"/>
  <c r="M68" i="2" s="1"/>
  <c r="N68" i="2" s="1"/>
  <c r="P68" i="2"/>
  <c r="T67" i="2"/>
  <c r="S67" i="2"/>
  <c r="R67" i="2"/>
  <c r="Q67" i="2"/>
  <c r="P67" i="2"/>
  <c r="M67" i="2" s="1"/>
  <c r="N67" i="2" s="1"/>
  <c r="T66" i="2"/>
  <c r="S66" i="2"/>
  <c r="R66" i="2"/>
  <c r="Q66" i="2"/>
  <c r="P66" i="2"/>
  <c r="M66" i="2" s="1"/>
  <c r="N66" i="2" s="1"/>
  <c r="T65" i="2"/>
  <c r="S65" i="2"/>
  <c r="R65" i="2"/>
  <c r="Q65" i="2"/>
  <c r="P65" i="2"/>
  <c r="M65" i="2"/>
  <c r="N65" i="2" s="1"/>
  <c r="T64" i="2"/>
  <c r="S64" i="2"/>
  <c r="R64" i="2"/>
  <c r="Q64" i="2"/>
  <c r="P64" i="2"/>
  <c r="M64" i="2"/>
  <c r="N64" i="2" s="1"/>
  <c r="T63" i="2"/>
  <c r="S63" i="2"/>
  <c r="R63" i="2"/>
  <c r="Q63" i="2"/>
  <c r="P63" i="2"/>
  <c r="M63" i="2" s="1"/>
  <c r="N63" i="2" s="1"/>
  <c r="T62" i="2"/>
  <c r="S62" i="2"/>
  <c r="R62" i="2"/>
  <c r="Q62" i="2"/>
  <c r="P62" i="2"/>
  <c r="M62" i="2" s="1"/>
  <c r="N62" i="2" s="1"/>
  <c r="T61" i="2"/>
  <c r="S61" i="2"/>
  <c r="R61" i="2"/>
  <c r="Q61" i="2"/>
  <c r="P61" i="2"/>
  <c r="M61" i="2" s="1"/>
  <c r="N61" i="2" s="1"/>
  <c r="T60" i="2"/>
  <c r="S60" i="2"/>
  <c r="R60" i="2"/>
  <c r="Q60" i="2"/>
  <c r="M60" i="2" s="1"/>
  <c r="N60" i="2" s="1"/>
  <c r="P60" i="2"/>
  <c r="T59" i="2"/>
  <c r="S59" i="2"/>
  <c r="R59" i="2"/>
  <c r="Q59" i="2"/>
  <c r="P59" i="2"/>
  <c r="M59" i="2" s="1"/>
  <c r="N59" i="2" s="1"/>
  <c r="T58" i="2"/>
  <c r="S58" i="2"/>
  <c r="R58" i="2"/>
  <c r="Q58" i="2"/>
  <c r="P58" i="2"/>
  <c r="M58" i="2" s="1"/>
  <c r="N58" i="2" s="1"/>
  <c r="T57" i="2"/>
  <c r="S57" i="2"/>
  <c r="R57" i="2"/>
  <c r="Q57" i="2"/>
  <c r="P57" i="2"/>
  <c r="M57" i="2"/>
  <c r="N57" i="2" s="1"/>
  <c r="T56" i="2"/>
  <c r="S56" i="2"/>
  <c r="R56" i="2"/>
  <c r="Q56" i="2"/>
  <c r="P56" i="2"/>
  <c r="M56" i="2"/>
  <c r="N56" i="2" s="1"/>
  <c r="T55" i="2"/>
  <c r="S55" i="2"/>
  <c r="R55" i="2"/>
  <c r="Q55" i="2"/>
  <c r="P55" i="2"/>
  <c r="M55" i="2" s="1"/>
  <c r="N55" i="2" s="1"/>
  <c r="T54" i="2"/>
  <c r="S54" i="2"/>
  <c r="R54" i="2"/>
  <c r="Q54" i="2"/>
  <c r="P54" i="2"/>
  <c r="M54" i="2" s="1"/>
  <c r="N54" i="2" s="1"/>
  <c r="T53" i="2"/>
  <c r="S53" i="2"/>
  <c r="R53" i="2"/>
  <c r="Q53" i="2"/>
  <c r="P53" i="2"/>
  <c r="M53" i="2" s="1"/>
  <c r="N53" i="2" s="1"/>
  <c r="T52" i="2"/>
  <c r="S52" i="2"/>
  <c r="R52" i="2"/>
  <c r="Q52" i="2"/>
  <c r="M52" i="2" s="1"/>
  <c r="N52" i="2" s="1"/>
  <c r="P52" i="2"/>
  <c r="T51" i="2"/>
  <c r="S51" i="2"/>
  <c r="R51" i="2"/>
  <c r="Q51" i="2"/>
  <c r="P51" i="2"/>
  <c r="M51" i="2" s="1"/>
  <c r="N51" i="2" s="1"/>
  <c r="T50" i="2"/>
  <c r="S50" i="2"/>
  <c r="R50" i="2"/>
  <c r="Q50" i="2"/>
  <c r="P50" i="2"/>
  <c r="M50" i="2" s="1"/>
  <c r="N50" i="2" s="1"/>
  <c r="T49" i="2"/>
  <c r="S49" i="2"/>
  <c r="R49" i="2"/>
  <c r="Q49" i="2"/>
  <c r="P49" i="2"/>
  <c r="M49" i="2"/>
  <c r="N49" i="2" s="1"/>
  <c r="T48" i="2"/>
  <c r="S48" i="2"/>
  <c r="R48" i="2"/>
  <c r="Q48" i="2"/>
  <c r="P48" i="2"/>
  <c r="M48" i="2" s="1"/>
  <c r="N48" i="2" s="1"/>
  <c r="T47" i="2"/>
  <c r="S47" i="2"/>
  <c r="R47" i="2"/>
  <c r="Q47" i="2"/>
  <c r="P47" i="2"/>
  <c r="M47" i="2" s="1"/>
  <c r="N47" i="2" s="1"/>
  <c r="T46" i="2"/>
  <c r="S46" i="2"/>
  <c r="R46" i="2"/>
  <c r="Q46" i="2"/>
  <c r="P46" i="2"/>
  <c r="M46" i="2" s="1"/>
  <c r="N46" i="2" s="1"/>
  <c r="T45" i="2"/>
  <c r="S45" i="2"/>
  <c r="R45" i="2"/>
  <c r="Q45" i="2"/>
  <c r="P45" i="2"/>
  <c r="M45" i="2" s="1"/>
  <c r="N45" i="2" s="1"/>
  <c r="T44" i="2"/>
  <c r="S44" i="2"/>
  <c r="R44" i="2"/>
  <c r="Q44" i="2"/>
  <c r="M44" i="2" s="1"/>
  <c r="N44" i="2" s="1"/>
  <c r="P44" i="2"/>
  <c r="T43" i="2"/>
  <c r="S43" i="2"/>
  <c r="R43" i="2"/>
  <c r="Q43" i="2"/>
  <c r="P43" i="2"/>
  <c r="M43" i="2" s="1"/>
  <c r="N43" i="2" s="1"/>
  <c r="T42" i="2"/>
  <c r="S42" i="2"/>
  <c r="R42" i="2"/>
  <c r="Q42" i="2"/>
  <c r="P42" i="2"/>
  <c r="M42" i="2" s="1"/>
  <c r="N42" i="2" s="1"/>
  <c r="T41" i="2"/>
  <c r="S41" i="2"/>
  <c r="R41" i="2"/>
  <c r="Q41" i="2"/>
  <c r="P41" i="2"/>
  <c r="M41" i="2"/>
  <c r="N41" i="2" s="1"/>
  <c r="T40" i="2"/>
  <c r="S40" i="2"/>
  <c r="R40" i="2"/>
  <c r="Q40" i="2"/>
  <c r="P40" i="2"/>
  <c r="M40" i="2" s="1"/>
  <c r="N40" i="2" s="1"/>
  <c r="T39" i="2"/>
  <c r="S39" i="2"/>
  <c r="R39" i="2"/>
  <c r="Q39" i="2"/>
  <c r="P39" i="2"/>
  <c r="M39" i="2" s="1"/>
  <c r="N39" i="2" s="1"/>
  <c r="T38" i="2"/>
  <c r="S38" i="2"/>
  <c r="R38" i="2"/>
  <c r="Q38" i="2"/>
  <c r="P38" i="2"/>
  <c r="M38" i="2" s="1"/>
  <c r="N38" i="2" s="1"/>
  <c r="T37" i="2"/>
  <c r="S37" i="2"/>
  <c r="R37" i="2"/>
  <c r="Q37" i="2"/>
  <c r="P37" i="2"/>
  <c r="M37" i="2" s="1"/>
  <c r="N37" i="2" s="1"/>
  <c r="T36" i="2"/>
  <c r="S36" i="2"/>
  <c r="R36" i="2"/>
  <c r="Q36" i="2"/>
  <c r="M36" i="2" s="1"/>
  <c r="N36" i="2" s="1"/>
  <c r="P36" i="2"/>
  <c r="T35" i="2"/>
  <c r="S35" i="2"/>
  <c r="R35" i="2"/>
  <c r="Q35" i="2"/>
  <c r="P35" i="2"/>
  <c r="M35" i="2" s="1"/>
  <c r="N35" i="2" s="1"/>
  <c r="T34" i="2"/>
  <c r="S34" i="2"/>
  <c r="R34" i="2"/>
  <c r="Q34" i="2"/>
  <c r="P34" i="2"/>
  <c r="M34" i="2" s="1"/>
  <c r="N34" i="2" s="1"/>
  <c r="T33" i="2"/>
  <c r="S33" i="2"/>
  <c r="R33" i="2"/>
  <c r="Q33" i="2"/>
  <c r="P33" i="2"/>
  <c r="M33" i="2"/>
  <c r="N33" i="2" s="1"/>
  <c r="T32" i="2"/>
  <c r="S32" i="2"/>
  <c r="R32" i="2"/>
  <c r="Q32" i="2"/>
  <c r="P32" i="2"/>
  <c r="M32" i="2" s="1"/>
  <c r="N32" i="2" s="1"/>
  <c r="T31" i="2"/>
  <c r="S31" i="2"/>
  <c r="R31" i="2"/>
  <c r="Q31" i="2"/>
  <c r="P31" i="2"/>
  <c r="M31" i="2" s="1"/>
  <c r="N31" i="2" s="1"/>
  <c r="T30" i="2"/>
  <c r="S30" i="2"/>
  <c r="R30" i="2"/>
  <c r="Q30" i="2"/>
  <c r="P30" i="2"/>
  <c r="M30" i="2" s="1"/>
  <c r="N30" i="2" s="1"/>
  <c r="T29" i="2"/>
  <c r="S29" i="2"/>
  <c r="R29" i="2"/>
  <c r="Q29" i="2"/>
  <c r="P29" i="2"/>
  <c r="M29" i="2" s="1"/>
  <c r="N29" i="2" s="1"/>
  <c r="T28" i="2"/>
  <c r="S28" i="2"/>
  <c r="R28" i="2"/>
  <c r="Q28" i="2"/>
  <c r="M28" i="2" s="1"/>
  <c r="N28" i="2" s="1"/>
  <c r="P28" i="2"/>
  <c r="T27" i="2"/>
  <c r="S27" i="2"/>
  <c r="R27" i="2"/>
  <c r="Q27" i="2"/>
  <c r="P27" i="2"/>
  <c r="M27" i="2" s="1"/>
  <c r="N27" i="2" s="1"/>
  <c r="T26" i="2"/>
  <c r="S26" i="2"/>
  <c r="R26" i="2"/>
  <c r="Q26" i="2"/>
  <c r="P26" i="2"/>
  <c r="M26" i="2" s="1"/>
  <c r="N26" i="2" s="1"/>
  <c r="T25" i="2"/>
  <c r="S25" i="2"/>
  <c r="R25" i="2"/>
  <c r="Q25" i="2"/>
  <c r="P25" i="2"/>
  <c r="M25" i="2"/>
  <c r="N25" i="2" s="1"/>
  <c r="T24" i="2"/>
  <c r="S24" i="2"/>
  <c r="R24" i="2"/>
  <c r="Q24" i="2"/>
  <c r="P24" i="2"/>
  <c r="M24" i="2" s="1"/>
  <c r="N24" i="2" s="1"/>
  <c r="T23" i="2"/>
  <c r="S23" i="2"/>
  <c r="R23" i="2"/>
  <c r="Q23" i="2"/>
  <c r="P23" i="2"/>
  <c r="M23" i="2" s="1"/>
  <c r="N23" i="2" s="1"/>
  <c r="T22" i="2"/>
  <c r="S22" i="2"/>
  <c r="R22" i="2"/>
  <c r="Q22" i="2"/>
  <c r="P22" i="2"/>
  <c r="M22" i="2" s="1"/>
  <c r="N22" i="2" s="1"/>
  <c r="T21" i="2"/>
  <c r="S21" i="2"/>
  <c r="R21" i="2"/>
  <c r="Q21" i="2"/>
  <c r="P21" i="2"/>
  <c r="M21" i="2" s="1"/>
  <c r="N21" i="2" s="1"/>
  <c r="T20" i="2"/>
  <c r="S20" i="2"/>
  <c r="R20" i="2"/>
  <c r="Q20" i="2"/>
  <c r="M20" i="2" s="1"/>
  <c r="N20" i="2" s="1"/>
  <c r="P20" i="2"/>
  <c r="T19" i="2"/>
  <c r="S19" i="2"/>
  <c r="R19" i="2"/>
  <c r="Q19" i="2"/>
  <c r="P19" i="2"/>
  <c r="M19" i="2" s="1"/>
  <c r="N19" i="2" s="1"/>
  <c r="T18" i="2"/>
  <c r="S18" i="2"/>
  <c r="R18" i="2"/>
  <c r="Q18" i="2"/>
  <c r="P18" i="2"/>
  <c r="M18" i="2" s="1"/>
  <c r="N18" i="2" s="1"/>
  <c r="T17" i="2"/>
  <c r="S17" i="2"/>
  <c r="R17" i="2"/>
  <c r="Q17" i="2"/>
  <c r="P17" i="2"/>
  <c r="M17" i="2"/>
  <c r="N17" i="2" s="1"/>
  <c r="T16" i="2"/>
  <c r="S16" i="2"/>
  <c r="R16" i="2"/>
  <c r="Q16" i="2"/>
  <c r="P16" i="2"/>
  <c r="M16" i="2" s="1"/>
  <c r="N16" i="2" s="1"/>
  <c r="T15" i="2"/>
  <c r="S15" i="2"/>
  <c r="R15" i="2"/>
  <c r="Q15" i="2"/>
  <c r="P15" i="2"/>
  <c r="M15" i="2" s="1"/>
  <c r="N15" i="2" s="1"/>
  <c r="T14" i="2"/>
  <c r="S14" i="2"/>
  <c r="R14" i="2"/>
  <c r="Q14" i="2"/>
  <c r="P14" i="2"/>
  <c r="M14" i="2" s="1"/>
  <c r="N14" i="2" s="1"/>
  <c r="T13" i="2"/>
  <c r="S13" i="2"/>
  <c r="R13" i="2"/>
  <c r="Q13" i="2"/>
  <c r="P13" i="2"/>
  <c r="M13" i="2" s="1"/>
  <c r="N13" i="2" s="1"/>
  <c r="T12" i="2"/>
  <c r="S12" i="2"/>
  <c r="R12" i="2"/>
  <c r="Q12" i="2"/>
  <c r="M12" i="2" s="1"/>
  <c r="N12" i="2" s="1"/>
  <c r="P12" i="2"/>
  <c r="T11" i="2"/>
  <c r="S11" i="2"/>
  <c r="R11" i="2"/>
  <c r="Q11" i="2"/>
  <c r="P11" i="2"/>
  <c r="M11" i="2" s="1"/>
  <c r="N11" i="2" s="1"/>
  <c r="T10" i="2"/>
  <c r="S10" i="2"/>
  <c r="R10" i="2"/>
  <c r="Q10" i="2"/>
  <c r="P10" i="2"/>
  <c r="M10" i="2" s="1"/>
  <c r="N10" i="2" s="1"/>
  <c r="T9" i="2"/>
  <c r="S9" i="2"/>
  <c r="R9" i="2"/>
  <c r="Q9" i="2"/>
  <c r="P9" i="2"/>
  <c r="M9" i="2"/>
  <c r="N9" i="2" s="1"/>
  <c r="T8" i="2"/>
  <c r="S8" i="2"/>
  <c r="R8" i="2"/>
  <c r="Q8" i="2"/>
  <c r="P8" i="2"/>
  <c r="M8" i="2" s="1"/>
  <c r="N8" i="2" s="1"/>
  <c r="T7" i="2"/>
  <c r="S7" i="2"/>
  <c r="R7" i="2"/>
  <c r="Q7" i="2"/>
  <c r="P7" i="2"/>
  <c r="M7" i="2" s="1"/>
  <c r="N7" i="2" s="1"/>
  <c r="T6" i="2"/>
  <c r="S6" i="2"/>
  <c r="R6" i="2"/>
  <c r="Q6" i="2"/>
  <c r="P6" i="2"/>
  <c r="M6" i="2" s="1"/>
  <c r="N6" i="2" s="1"/>
  <c r="T5" i="2"/>
  <c r="S5" i="2"/>
  <c r="R5" i="2"/>
  <c r="M5" i="2" s="1"/>
  <c r="N5" i="2" s="1"/>
  <c r="Q5" i="2"/>
  <c r="P5" i="2"/>
  <c r="T4" i="2"/>
  <c r="S4" i="2"/>
  <c r="R4" i="2"/>
  <c r="Q4" i="2"/>
  <c r="M4" i="2" s="1"/>
  <c r="N4" i="2" s="1"/>
  <c r="P4" i="2"/>
  <c r="T3" i="2"/>
  <c r="S3" i="2"/>
  <c r="R3" i="2"/>
  <c r="Q3" i="2"/>
  <c r="P3" i="2"/>
  <c r="M3" i="2" s="1"/>
  <c r="N3" i="2" s="1"/>
  <c r="T2" i="2"/>
  <c r="S2" i="2"/>
  <c r="R2" i="2"/>
  <c r="Q2" i="2"/>
  <c r="P2" i="2"/>
  <c r="M2" i="2" s="1"/>
  <c r="N2" i="2" s="1"/>
</calcChain>
</file>

<file path=xl/sharedStrings.xml><?xml version="1.0" encoding="utf-8"?>
<sst xmlns="http://schemas.openxmlformats.org/spreadsheetml/2006/main" count="2192" uniqueCount="1533">
  <si>
    <t>NextXI — Question Bank (QA draft, rev 2)</t>
  </si>
  <si>
    <t>Purpose: draft master questions for your review. Edit anything; nothing is frozen until you sign off.</t>
  </si>
  <si>
    <t>Scope: 216 questions / 1080 anchors — grassroots U6-U17.</t>
  </si>
  <si>
    <t>What changed in this revision:</t>
  </si>
  <si>
    <t>- Technical now splits into Defence / Midfield / Attack from U10-U11 up (was generic Outfield).</t>
  </si>
  <si>
    <t>- All your QA notes actioned: 'ninety minutes' -&gt; 'whole game'; 'Elite' removed bank-wide; clarity fixes applied.</t>
  </si>
  <si>
    <t>- Two Physical U16-U17 questions reworded to fit goalkeepers.</t>
  </si>
  <si>
    <t>- Your two cell edits kept. QA Notes column cleared for a fresh pass.</t>
  </si>
  <si>
    <t>How to QA:</t>
  </si>
  <si>
    <t>- Edit Question and Anchor 1-5 cells directly; add comments in QA Notes.</t>
  </si>
  <si>
    <t>- Word limits: 10 (Technical/Physical/Tactical), 12 (Psychological/Social). Over-limit anchors flag red.</t>
  </si>
  <si>
    <t>- Anchors run left-&gt;right as scores 1 to 5. Variant: All=shared; Outfield/Defence/Midfield/Attack/Goalkeeper.</t>
  </si>
  <si>
    <t>ID</t>
  </si>
  <si>
    <t>Age Band</t>
  </si>
  <si>
    <t>Pillar</t>
  </si>
  <si>
    <t>Variant</t>
  </si>
  <si>
    <t>Q#</t>
  </si>
  <si>
    <t>Question</t>
  </si>
  <si>
    <t>Anchor 1 (score 1)</t>
  </si>
  <si>
    <t>Anchor 2 (score 2)</t>
  </si>
  <si>
    <t>Anchor 3 (score 3)</t>
  </si>
  <si>
    <t>Anchor 4 (score 4)</t>
  </si>
  <si>
    <t>Anchor 5 (score 5)</t>
  </si>
  <si>
    <t>Limit</t>
  </si>
  <si>
    <t>Longest (words)</t>
  </si>
  <si>
    <t>Within limit?</t>
  </si>
  <si>
    <t>QA Notes</t>
  </si>
  <si>
    <t>wc1</t>
  </si>
  <si>
    <t>wc2</t>
  </si>
  <si>
    <t>wc3</t>
  </si>
  <si>
    <t>wc4</t>
  </si>
  <si>
    <t>wc5</t>
  </si>
  <si>
    <t>TEC-OUT-U6U7-1</t>
  </si>
  <si>
    <t>U6-U7</t>
  </si>
  <si>
    <t>Technical</t>
  </si>
  <si>
    <t>Outfield</t>
  </si>
  <si>
    <t>Can the player control (stop) the ball when it comes to them?</t>
  </si>
  <si>
    <t>Ball bounces away; can't stop it.</t>
  </si>
  <si>
    <t>Traps it occasionally, usually loses control.</t>
  </si>
  <si>
    <t>Stops the ball when it comes slowly.</t>
  </si>
  <si>
    <t>Controls most balls that reach them.</t>
  </si>
  <si>
    <t>Comfortable first touch; controls the ball easily.</t>
  </si>
  <si>
    <t>TEC-OUT-U6U7-2</t>
  </si>
  <si>
    <t>Can the player pass the ball to a teammate?</t>
  </si>
  <si>
    <t>Kicks randomly; rarely reaches a teammate.</t>
  </si>
  <si>
    <t>Passes short distances with little accuracy.</t>
  </si>
  <si>
    <t>Reaches a nearby teammate sometimes.</t>
  </si>
  <si>
    <t>Passes accurately to teammates close by.</t>
  </si>
  <si>
    <t>Finds teammates consistently with a clean pass.</t>
  </si>
  <si>
    <t>TEC-OUT-U6U7-3</t>
  </si>
  <si>
    <t>Can the player run with the ball under control?</t>
  </si>
  <si>
    <t>Ball runs away as soon as they move.</t>
  </si>
  <si>
    <t>Moves the ball but loses it quickly.</t>
  </si>
  <si>
    <t>Runs with the ball a short way.</t>
  </si>
  <si>
    <t>Keeps the ball close while running.</t>
  </si>
  <si>
    <t>Dribbles with control and changes direction.</t>
  </si>
  <si>
    <t>TEC-OUT-U6U7-4</t>
  </si>
  <si>
    <t>Can the player kick the ball with purpose?</t>
  </si>
  <si>
    <t>Miskicks or barely connects with the ball.</t>
  </si>
  <si>
    <t>Kicks it, but with no direction.</t>
  </si>
  <si>
    <t>Kicks toward goal or teammate sometimes.</t>
  </si>
  <si>
    <t>Strikes the ball with reasonable direction.</t>
  </si>
  <si>
    <t>Strikes cleanly and aims where they want.</t>
  </si>
  <si>
    <t>TEC-OUT-U8U9-1</t>
  </si>
  <si>
    <t>U8-U9</t>
  </si>
  <si>
    <t>Does the player have a good first touch under little pressure?</t>
  </si>
  <si>
    <t>Heavy touch; the ball bounces away.</t>
  </si>
  <si>
    <t>Controls only slow, easy balls.</t>
  </si>
  <si>
    <t>Decent first touch when unpressured.</t>
  </si>
  <si>
    <t>Good first touch, sets up the next action.</t>
  </si>
  <si>
    <t>Clean first touch into space every time.</t>
  </si>
  <si>
    <t>TEC-OUT-U8U9-2</t>
  </si>
  <si>
    <t>Can the player pass accurately over short distances?</t>
  </si>
  <si>
    <t>Passes are wayward and often overhit.</t>
  </si>
  <si>
    <t>Reaches teammates only occasionally.</t>
  </si>
  <si>
    <t>Accurate over short, simple passes.</t>
  </si>
  <si>
    <t>Passes accurately with good weight nearby.</t>
  </si>
  <si>
    <t>Consistently accurate; weights passes to teammates.</t>
  </si>
  <si>
    <t>TEC-OUT-U8U9-3</t>
  </si>
  <si>
    <t>Can the player dribble and beat an opponent?</t>
  </si>
  <si>
    <t>Loses the ball as soon as challenged.</t>
  </si>
  <si>
    <t>Keeps the ball but can't beat anyone.</t>
  </si>
  <si>
    <t>Beats an opponent occasionally in space.</t>
  </si>
  <si>
    <t>Takes players on and beats them sometimes.</t>
  </si>
  <si>
    <t>Confident dribbler; beats opponents regularly.</t>
  </si>
  <si>
    <t>TEC-OUT-U8U9-4</t>
  </si>
  <si>
    <t>Can the player shoot with reasonable technique?</t>
  </si>
  <si>
    <t>Scuffs or miskicks most shots.</t>
  </si>
  <si>
    <t>Shoots, but rarely on target.</t>
  </si>
  <si>
    <t>Hits the target when unpressured.</t>
  </si>
  <si>
    <t>Strikes shots cleanly and on target.</t>
  </si>
  <si>
    <t>Strikes with power and places shots well.</t>
  </si>
  <si>
    <t>TEC-DEF-U10U11-1</t>
  </si>
  <si>
    <t>U10-U11</t>
  </si>
  <si>
    <t>Defence</t>
  </si>
  <si>
    <t>Can the defender clear the ball safely under pressure?</t>
  </si>
  <si>
    <t>Miskicks or slices clearances under pressure.</t>
  </si>
  <si>
    <t>Clears sometimes, often straight to opponents.</t>
  </si>
  <si>
    <t>Clears safely when unpressured.</t>
  </si>
  <si>
    <t>Clears the ball safely under pressure.</t>
  </si>
  <si>
    <t>Clears cleanly and finds a teammate when possible.</t>
  </si>
  <si>
    <t>TEC-DEF-U10U11-2</t>
  </si>
  <si>
    <t>Does the defender time their tackles well?</t>
  </si>
  <si>
    <t>Dives in and mistimes most tackles.</t>
  </si>
  <si>
    <t>Wins tackles only against slower players.</t>
  </si>
  <si>
    <t>Times tackles when the attacker slows.</t>
  </si>
  <si>
    <t>Times tackles well to win the ball.</t>
  </si>
  <si>
    <t>Tackles cleanly; rarely fouls or misses.</t>
  </si>
  <si>
    <t>TEC-DEF-U10U11-3</t>
  </si>
  <si>
    <t>Can the defender control the ball when it comes to them?</t>
  </si>
  <si>
    <t>Poor touch; loses the ball under pressure.</t>
  </si>
  <si>
    <t>Controls easy balls, panics under pressure.</t>
  </si>
  <si>
    <t>Controls the ball with time.</t>
  </si>
  <si>
    <t>Controls the ball under some pressure.</t>
  </si>
  <si>
    <t>Composed first touch; keeps possession under pressure.</t>
  </si>
  <si>
    <t>TEC-DEF-U10U11-4</t>
  </si>
  <si>
    <t>Can the defender pass out safely from the back?</t>
  </si>
  <si>
    <t>Hoofs it clear with no target.</t>
  </si>
  <si>
    <t>Passes short but often to opponents.</t>
  </si>
  <si>
    <t>Finds a nearby teammate when unpressured.</t>
  </si>
  <si>
    <t>Passes out to a teammate under pressure.</t>
  </si>
  <si>
    <t>Starts attacks with a calm, accurate pass.</t>
  </si>
  <si>
    <t>TEC-DEF-U12U13-1</t>
  </si>
  <si>
    <t>U12-U13</t>
  </si>
  <si>
    <t>Can the defender clear or head the ball away under pressure?</t>
  </si>
  <si>
    <t>Clearances and headers are weak or miscued.</t>
  </si>
  <si>
    <t>Clears low balls, struggles with aerial ones.</t>
  </si>
  <si>
    <t>Clears reliably when unpressured.</t>
  </si>
  <si>
    <t>Clears and heads away well under pressure.</t>
  </si>
  <si>
    <t>Commanding clearances and headers under real pressure.</t>
  </si>
  <si>
    <t>TEC-DEF-U12U13-2</t>
  </si>
  <si>
    <t>Is the defender's tackling and interception technique reliable?</t>
  </si>
  <si>
    <t>Mistimes tackles; dives in and fouls.</t>
  </si>
  <si>
    <t>Wins the ball only in easy situations.</t>
  </si>
  <si>
    <t>Reliable tackling, interceptions inconsistent.</t>
  </si>
  <si>
    <t>Tackles and intercepts reliably.</t>
  </si>
  <si>
    <t>Excellent timing; wins the ball cleanly and often.</t>
  </si>
  <si>
    <t>TEC-DEF-U12U13-3</t>
  </si>
  <si>
    <t>Can the defender control the ball under pressure?</t>
  </si>
  <si>
    <t>First touch fails whenever pressured.</t>
  </si>
  <si>
    <t>Controls with time, panics under pressure.</t>
  </si>
  <si>
    <t>Controls the ball under moderate pressure.</t>
  </si>
  <si>
    <t>Controls cleanly under real pressure.</t>
  </si>
  <si>
    <t>Assured touch; escapes pressure to keep possession.</t>
  </si>
  <si>
    <t>TEC-DEF-U12U13-4</t>
  </si>
  <si>
    <t>Can the defender play out accurately from the back?</t>
  </si>
  <si>
    <t>Clears aimlessly; gives possession away.</t>
  </si>
  <si>
    <t>Short passes only, often to opponents.</t>
  </si>
  <si>
    <t>Plays out safely when unpressured.</t>
  </si>
  <si>
    <t>Plays out accurately under pressure.</t>
  </si>
  <si>
    <t>Breaks the press with composed, accurate passing.</t>
  </si>
  <si>
    <t>TEC-DEF-U14U15-1</t>
  </si>
  <si>
    <t>U14-U15</t>
  </si>
  <si>
    <t>Does the defender defend the ball in the air and on the ground?</t>
  </si>
  <si>
    <t>Beaten in the air and on the ground.</t>
  </si>
  <si>
    <t>Wins ground duels, weak in the air.</t>
  </si>
  <si>
    <t>Competent in both when unpressured.</t>
  </si>
  <si>
    <t>Defends well in the air and on the ground.</t>
  </si>
  <si>
    <t>Dominant in duels; wins the ball decisively.</t>
  </si>
  <si>
    <t>TEC-DEF-U14U15-2</t>
  </si>
  <si>
    <t>Is the defender's tackling and interception technique strong?</t>
  </si>
  <si>
    <t>Poor timing; fouls or misses regularly.</t>
  </si>
  <si>
    <t>Wins the ball but often mistimes.</t>
  </si>
  <si>
    <t>Sound technique in straightforward situations.</t>
  </si>
  <si>
    <t>Strong, well-timed tackling and interceptions.</t>
  </si>
  <si>
    <t>Reads and wins the ball cleanly under pressure.</t>
  </si>
  <si>
    <t>TEC-DEF-U14U15-3</t>
  </si>
  <si>
    <t>Can the defender receive and control under real pressure?</t>
  </si>
  <si>
    <t>Loses the ball under any pressure.</t>
  </si>
  <si>
    <t>Needs space to control safely.</t>
  </si>
  <si>
    <t>Controls under moderate pressure.</t>
  </si>
  <si>
    <t>Receives and controls under real pressure.</t>
  </si>
  <si>
    <t>Composed first touch; comfortable in tight spaces.</t>
  </si>
  <si>
    <t>TEC-DEF-U14U15-4</t>
  </si>
  <si>
    <t>Can the defender build play accurately from the back?</t>
  </si>
  <si>
    <t>Distribution is rushed and inaccurate.</t>
  </si>
  <si>
    <t>Safe, short passing only.</t>
  </si>
  <si>
    <t>Builds play when given time.</t>
  </si>
  <si>
    <t>Builds play accurately under pressure.</t>
  </si>
  <si>
    <t>Progresses play; passing beats the press.</t>
  </si>
  <si>
    <t>TEC-DEF-U16U17-1</t>
  </si>
  <si>
    <t>U16-U17</t>
  </si>
  <si>
    <t>Does the defender win aerial and ground duels convincingly?</t>
  </si>
  <si>
    <t>Loses most duels in the air and ground.</t>
  </si>
  <si>
    <t>Competes but often comes second.</t>
  </si>
  <si>
    <t>Wins routine duels convincingly.</t>
  </si>
  <si>
    <t>Wins aerial and ground duels convincingly.</t>
  </si>
  <si>
    <t>Dominant in every duel; rarely beaten.</t>
  </si>
  <si>
    <t>TEC-DEF-U16U17-2</t>
  </si>
  <si>
    <t>Is the defender's defensive technique reliable against quality?</t>
  </si>
  <si>
    <t>Technique breaks down against good attackers.</t>
  </si>
  <si>
    <t>Reliable only against weaker opponents.</t>
  </si>
  <si>
    <t>Sound against most attackers.</t>
  </si>
  <si>
    <t>Reliable technique against quality attackers.</t>
  </si>
  <si>
    <t>Wins the ball cleanly against the best.</t>
  </si>
  <si>
    <t>TEC-DEF-U16U17-3</t>
  </si>
  <si>
    <t>Can the defender receive, control, and retain under heavy pressure?</t>
  </si>
  <si>
    <t>Panics and loses possession under pressure.</t>
  </si>
  <si>
    <t>Retains possession only with time.</t>
  </si>
  <si>
    <t>Controls and retains under heavy pressure.</t>
  </si>
  <si>
    <t>Assured under any pressure; never flustered.</t>
  </si>
  <si>
    <t>TEC-DEF-U16U17-4</t>
  </si>
  <si>
    <t>Does the defender build and progress play from the back?</t>
  </si>
  <si>
    <t>Cannot be trusted to play out.</t>
  </si>
  <si>
    <t>Only the safe, simple pass.</t>
  </si>
  <si>
    <t>Progresses play in settled moments.</t>
  </si>
  <si>
    <t>Builds and progresses play under pressure.</t>
  </si>
  <si>
    <t>Dictates from the back; passing breaks lines.</t>
  </si>
  <si>
    <t>TEC-MID-U10U11-1</t>
  </si>
  <si>
    <t>Midfield</t>
  </si>
  <si>
    <t>Can the midfielder control the ball and keep possession?</t>
  </si>
  <si>
    <t>Heavy touch; loses the ball quickly.</t>
  </si>
  <si>
    <t>Controls easy balls, loses it under pressure.</t>
  </si>
  <si>
    <t>Keeps the ball when given time.</t>
  </si>
  <si>
    <t>Controls and keeps the ball under pressure.</t>
  </si>
  <si>
    <t>Rarely loses possession; touch buys time and space.</t>
  </si>
  <si>
    <t>TEC-MID-U10U11-2</t>
  </si>
  <si>
    <t>Can the midfielder turn with the ball to play forward?</t>
  </si>
  <si>
    <t>Always plays backwards; never turns.</t>
  </si>
  <si>
    <t>Turns only when there's lots of space.</t>
  </si>
  <si>
    <t>Turns when unpressured, plays safe otherwise.</t>
  </si>
  <si>
    <t>Turns to play forward when possible.</t>
  </si>
  <si>
    <t>Turns out of pressure to attack quickly.</t>
  </si>
  <si>
    <t>TEC-MID-U10U11-3</t>
  </si>
  <si>
    <t>Does the midfielder pass with the right weight and timing?</t>
  </si>
  <si>
    <t>Passes over- or under-hit and poorly timed.</t>
  </si>
  <si>
    <t>Weight and timing right only when unpressured.</t>
  </si>
  <si>
    <t>Reasonable weight, timing sometimes off.</t>
  </si>
  <si>
    <t>Good weight and timing on most passes.</t>
  </si>
  <si>
    <t>Weights passes perfectly into a teammate's stride.</t>
  </si>
  <si>
    <t>TEC-MID-U10U11-4</t>
  </si>
  <si>
    <t>Can the midfielder link play with quick, tidy touches?</t>
  </si>
  <si>
    <t>Slow, heavy touches break up play.</t>
  </si>
  <si>
    <t>Holds the ball too long each time.</t>
  </si>
  <si>
    <t>Links play when there's little pressure.</t>
  </si>
  <si>
    <t>Links play with quick, tidy touches.</t>
  </si>
  <si>
    <t>One and two-touch play keeps attacks flowing.</t>
  </si>
  <si>
    <t>TEC-MID-U12U13-1</t>
  </si>
  <si>
    <t>Can the midfielder control and keep the ball under pressure?</t>
  </si>
  <si>
    <t>Keeps it only with time and space.</t>
  </si>
  <si>
    <t>Retains the ball under moderate pressure.</t>
  </si>
  <si>
    <t>Rarely dispossessed; touch buys time and space.</t>
  </si>
  <si>
    <t>TEC-MID-U12U13-2</t>
  </si>
  <si>
    <t>Can the midfielder turn and play forward under pressure?</t>
  </si>
  <si>
    <t>Always plays backwards or sideways.</t>
  </si>
  <si>
    <t>Turns only when given space.</t>
  </si>
  <si>
    <t>Turns forward in settled play.</t>
  </si>
  <si>
    <t>Turns and plays forward under pressure.</t>
  </si>
  <si>
    <t>Turns out of pressure to launch attacks.</t>
  </si>
  <si>
    <t>TEC-MID-U12U13-3</t>
  </si>
  <si>
    <t>Good weight and timing under pressure.</t>
  </si>
  <si>
    <t>Weights and times passes into a teammate's stride.</t>
  </si>
  <si>
    <t>TEC-MID-U12U13-4</t>
  </si>
  <si>
    <t>Heavy touches slow the play down.</t>
  </si>
  <si>
    <t>Links play in unpressured moments.</t>
  </si>
  <si>
    <t>Sharp one and two-touch play keeps attacks flowing.</t>
  </si>
  <si>
    <t>TEC-MID-U14U15-1</t>
  </si>
  <si>
    <t>Does the midfielder retain the ball under real pressure?</t>
  </si>
  <si>
    <t>Gives the ball away under pressure.</t>
  </si>
  <si>
    <t>Keeps possession only with space.</t>
  </si>
  <si>
    <t>Retains the ball under real pressure.</t>
  </si>
  <si>
    <t>Escapes tight pressure and keeps possession consistently.</t>
  </si>
  <si>
    <t>TEC-MID-U14U15-2</t>
  </si>
  <si>
    <t>Can the midfielder receive and turn to play forward under pressure?</t>
  </si>
  <si>
    <t>Receives square; always plays backwards.</t>
  </si>
  <si>
    <t>Turns only when unpressured.</t>
  </si>
  <si>
    <t>Turns forward in favourable moments.</t>
  </si>
  <si>
    <t>Receives and turns to play forward under pressure.</t>
  </si>
  <si>
    <t>Consistently turns out of pressure to attack.</t>
  </si>
  <si>
    <t>TEC-MID-U14U15-3</t>
  </si>
  <si>
    <t>Is the midfielder's passing accurate and well-weighted in range?</t>
  </si>
  <si>
    <t>Passing lacks accuracy and weight.</t>
  </si>
  <si>
    <t>Short passing fine, longer passing weak.</t>
  </si>
  <si>
    <t>Accurate short and medium range.</t>
  </si>
  <si>
    <t>Accurate, well-weighted across the range.</t>
  </si>
  <si>
    <t>Dictates play; weighted passes break lines.</t>
  </si>
  <si>
    <t>TEC-MID-U14U15-4</t>
  </si>
  <si>
    <t>Does the midfielder combine quickly to keep play flowing?</t>
  </si>
  <si>
    <t>Slow touches break up attacks.</t>
  </si>
  <si>
    <t>Holds the ball rather than combining.</t>
  </si>
  <si>
    <t>Combines when there's little pressure.</t>
  </si>
  <si>
    <t>Combines quickly to keep play flowing.</t>
  </si>
  <si>
    <t>Slick combinations unlock and speed up attacks.</t>
  </si>
  <si>
    <t>TEC-MID-U16U17-1</t>
  </si>
  <si>
    <t>Does the midfielder retain and dictate possession under pressure?</t>
  </si>
  <si>
    <t>Loses possession under real pressure.</t>
  </si>
  <si>
    <t>Keeps the ball only with time.</t>
  </si>
  <si>
    <t>Retains possession under moderate pressure.</t>
  </si>
  <si>
    <t>Retains and dictates possession under pressure.</t>
  </si>
  <si>
    <t>Controls the game; never loses the ball cheaply.</t>
  </si>
  <si>
    <t>TEC-MID-U16U17-2</t>
  </si>
  <si>
    <t>Can the midfielder receive, turn, and progress in tight areas?</t>
  </si>
  <si>
    <t>Cannot turn or progress when tight.</t>
  </si>
  <si>
    <t>Progresses only with space.</t>
  </si>
  <si>
    <t>Turns and progresses in moderate pressure.</t>
  </si>
  <si>
    <t>Receives, turns, and progresses in tight areas.</t>
  </si>
  <si>
    <t>Escapes tight areas to drive play forward.</t>
  </si>
  <si>
    <t>TEC-MID-U16U17-3</t>
  </si>
  <si>
    <t>Is the midfielder's passing range accurate and incisive?</t>
  </si>
  <si>
    <t>Limited range; passing lacks accuracy.</t>
  </si>
  <si>
    <t>Reliable short, weak over distance.</t>
  </si>
  <si>
    <t>Accurate across the range in settled play.</t>
  </si>
  <si>
    <t>Accurate, incisive passing across the range.</t>
  </si>
  <si>
    <t>Passing controls and unlocks the game.</t>
  </si>
  <si>
    <t>TEC-MID-U16U17-4</t>
  </si>
  <si>
    <t>Does the midfielder combine and control tempo with their touches?</t>
  </si>
  <si>
    <t>Touches are heavy and slow play.</t>
  </si>
  <si>
    <t>Combines only in easy situations.</t>
  </si>
  <si>
    <t>Combines and links in settled spells.</t>
  </si>
  <si>
    <t>Combines and controls tempo with their touches.</t>
  </si>
  <si>
    <t>Dictates tempo; touches set the game's rhythm.</t>
  </si>
  <si>
    <t>TEC-ATT-U10U11-1</t>
  </si>
  <si>
    <t>Attack</t>
  </si>
  <si>
    <t>Can the attacker shoot and finish chances?</t>
  </si>
  <si>
    <t>Hits the target from good positions.</t>
  </si>
  <si>
    <t>Finishes chances with a clean strike.</t>
  </si>
  <si>
    <t>Composed finisher; takes chances under pressure.</t>
  </si>
  <si>
    <t>TEC-ATT-U10U11-2</t>
  </si>
  <si>
    <t>Can the attacker beat a defender with the ball?</t>
  </si>
  <si>
    <t>Loses the ball when challenged.</t>
  </si>
  <si>
    <t>Runs into defenders and loses it.</t>
  </si>
  <si>
    <t>Beats a defender in open space.</t>
  </si>
  <si>
    <t>Beats defenders one-v-one fairly often.</t>
  </si>
  <si>
    <t>Skilful dribbler; beats defenders in tight areas.</t>
  </si>
  <si>
    <t>TEC-ATT-U10U11-3</t>
  </si>
  <si>
    <t>Can the attacker control the ball with a defender close?</t>
  </si>
  <si>
    <t>First touch runs away under pressure.</t>
  </si>
  <si>
    <t>Controls only with space and time.</t>
  </si>
  <si>
    <t>Controls with a defender at distance.</t>
  </si>
  <si>
    <t>Controls the ball with a defender close.</t>
  </si>
  <si>
    <t>Sharp touch; sets up a shot instantly.</t>
  </si>
  <si>
    <t>TEC-ATT-U10U11-4</t>
  </si>
  <si>
    <t>Can the attacker create a shooting chance quickly?</t>
  </si>
  <si>
    <t>Too slow; the chance is gone.</t>
  </si>
  <si>
    <t>Needs several touches to get a shot.</t>
  </si>
  <si>
    <t>Creates a shot when unpressured.</t>
  </si>
  <si>
    <t>Creates a shooting chance quickly.</t>
  </si>
  <si>
    <t>Turns half-chances into shots in a flash.</t>
  </si>
  <si>
    <t>TEC-ATT-U12U13-1</t>
  </si>
  <si>
    <t>Can the attacker finish chances with good technique?</t>
  </si>
  <si>
    <t>Poor technique; wastes most chances.</t>
  </si>
  <si>
    <t>Finishes only clear, unpressured chances.</t>
  </si>
  <si>
    <t>Finishes reasonably from good positions.</t>
  </si>
  <si>
    <t>Finishes chances with good technique.</t>
  </si>
  <si>
    <t>Clinical; finishes consistently under pressure.</t>
  </si>
  <si>
    <t>TEC-ATT-U12U13-2</t>
  </si>
  <si>
    <t>Can the attacker beat defenders with the ball?</t>
  </si>
  <si>
    <t>Beats defenders only in space.</t>
  </si>
  <si>
    <t>Beats a defender in favourable situations.</t>
  </si>
  <si>
    <t>Beats defenders one-v-one regularly.</t>
  </si>
  <si>
    <t>Skilful; beats defenders in tight areas.</t>
  </si>
  <si>
    <t>TEC-ATT-U12U13-3</t>
  </si>
  <si>
    <t>Can the attacker control the ball with defenders close?</t>
  </si>
  <si>
    <t>Controls only with time and space.</t>
  </si>
  <si>
    <t>Controls with defenders close.</t>
  </si>
  <si>
    <t>TEC-ATT-U12U13-4</t>
  </si>
  <si>
    <t>Too slow; the chance disappears.</t>
  </si>
  <si>
    <t>Needs several touches to shoot.</t>
  </si>
  <si>
    <t>Turns half-chances into shots instantly.</t>
  </si>
  <si>
    <t>TEC-ATT-U14U15-1</t>
  </si>
  <si>
    <t>Is the attacker's finishing reliable under pressure?</t>
  </si>
  <si>
    <t>Finishing breaks down under pressure.</t>
  </si>
  <si>
    <t>Finishes only unpressured chances.</t>
  </si>
  <si>
    <t>Reliable when set, inconsistent otherwise.</t>
  </si>
  <si>
    <t>Finishes reliably under pressure.</t>
  </si>
  <si>
    <t>Ruthless; converts difficult chances.</t>
  </si>
  <si>
    <t>TEC-ATT-U14U15-2</t>
  </si>
  <si>
    <t>Can the attacker beat defenders and create in tight areas?</t>
  </si>
  <si>
    <t>Beaten easily; loses the ball often.</t>
  </si>
  <si>
    <t>Beats defenders only with space.</t>
  </si>
  <si>
    <t>Beats defenders and creates occasionally.</t>
  </si>
  <si>
    <t>Beats defenders and creates in tight areas.</t>
  </si>
  <si>
    <t>Decisive dribbler; unlocks defences one-v-one.</t>
  </si>
  <si>
    <t>TEC-ATT-U14U15-3</t>
  </si>
  <si>
    <t>Can the attacker control difficult balls with defenders close?</t>
  </si>
  <si>
    <t>Cannot control under close pressure.</t>
  </si>
  <si>
    <t>Controls simple balls only.</t>
  </si>
  <si>
    <t>Controls with a defender nearby.</t>
  </si>
  <si>
    <t>Controls difficult balls with defenders close.</t>
  </si>
  <si>
    <t>First touch beats the defender and creates space.</t>
  </si>
  <si>
    <t>TEC-ATT-U14U15-4</t>
  </si>
  <si>
    <t>Can the attacker finish quickly with limited time and space?</t>
  </si>
  <si>
    <t>Too slow; chances are lost.</t>
  </si>
  <si>
    <t>Needs time and space to shoot.</t>
  </si>
  <si>
    <t>Finishes quickly in good positions.</t>
  </si>
  <si>
    <t>Finishes quickly with limited time.</t>
  </si>
  <si>
    <t>Lightning release; scores from half-chances.</t>
  </si>
  <si>
    <t>TEC-ATT-U16U17-1</t>
  </si>
  <si>
    <t>Is the attacker's finishing of a high standard under pressure?</t>
  </si>
  <si>
    <t>Wasteful; poor technique under pressure.</t>
  </si>
  <si>
    <t>Finishes routine chances only.</t>
  </si>
  <si>
    <t>Sound technique, inconsistent conversion.</t>
  </si>
  <si>
    <t>Finishes to a high standard under pressure.</t>
  </si>
  <si>
    <t>Ruthless finisher; scores the difficult chances.</t>
  </si>
  <si>
    <t>TEC-ATT-U16U17-2</t>
  </si>
  <si>
    <t>Can the attacker beat defenders and be decisive in the final third?</t>
  </si>
  <si>
    <t>Rarely beats defenders or influences play.</t>
  </si>
  <si>
    <t>Beats defenders but decisions let them down.</t>
  </si>
  <si>
    <t>Beats defenders and contributes at times.</t>
  </si>
  <si>
    <t>Decisive in beating defenders and creating.</t>
  </si>
  <si>
    <t>Wins games with individual quality in tight areas.</t>
  </si>
  <si>
    <t>TEC-ATT-U16U17-3</t>
  </si>
  <si>
    <t>Can the attacker control and manipulate the ball under pressure?</t>
  </si>
  <si>
    <t>Loses the ball under close pressure.</t>
  </si>
  <si>
    <t>Controls and manipulates under pressure.</t>
  </si>
  <si>
    <t>Exceptional touch; creates space instantly.</t>
  </si>
  <si>
    <t>TEC-ATT-U16U17-4</t>
  </si>
  <si>
    <t>Does the attacker finish quickly and clinically in the box?</t>
  </si>
  <si>
    <t>Slow and wasteful in the box.</t>
  </si>
  <si>
    <t>Needs time to get a shot away.</t>
  </si>
  <si>
    <t>Finishes quickly from clear chances.</t>
  </si>
  <si>
    <t>Finishes quickly and clinically in the box.</t>
  </si>
  <si>
    <t>Deadly in the box; converts the tightest chances.</t>
  </si>
  <si>
    <t>TEC-GK-U10U11-1</t>
  </si>
  <si>
    <t>Goalkeeper</t>
  </si>
  <si>
    <t>Can the goalkeeper catch or stop shots coming at them?</t>
  </si>
  <si>
    <t>Lets easy shots through; poor handling.</t>
  </si>
  <si>
    <t>Stops some, spills or drops many.</t>
  </si>
  <si>
    <t>Holds shots hit straight at them.</t>
  </si>
  <si>
    <t>Catches or blocks most shots well.</t>
  </si>
  <si>
    <t>Handles shots cleanly and holds firmly.</t>
  </si>
  <si>
    <t>TEC-GK-U10U11-2</t>
  </si>
  <si>
    <t>Does the goalkeeper get their body behind the ball?</t>
  </si>
  <si>
    <t>Reaches with hands, body not behind ball.</t>
  </si>
  <si>
    <t>Behind the ball for easy shots only.</t>
  </si>
  <si>
    <t>Gets behind straightforward shots.</t>
  </si>
  <si>
    <t>Usually gets body behind the ball.</t>
  </si>
  <si>
    <t>Always set and behind the ball to save.</t>
  </si>
  <si>
    <t>TEC-GK-U10U11-3</t>
  </si>
  <si>
    <t>Can the goalkeeper roll or kick the ball to a teammate?</t>
  </si>
  <si>
    <t>Boots it away with no target.</t>
  </si>
  <si>
    <t>Clears long, rarely to a teammate.</t>
  </si>
  <si>
    <t>Rolls or passes to teammates accurately.</t>
  </si>
  <si>
    <t>Starts attacks with an accurate throw or pass.</t>
  </si>
  <si>
    <t>TEC-GK-U10U11-4</t>
  </si>
  <si>
    <t>Is the goalkeeper comfortable with the ball at their feet?</t>
  </si>
  <si>
    <t>Panics and miskicks with the ball.</t>
  </si>
  <si>
    <t>Uncomfortable; hoofs it clear quickly.</t>
  </si>
  <si>
    <t>Manages simple passes back to them.</t>
  </si>
  <si>
    <t>Controls and passes calmly with feet.</t>
  </si>
  <si>
    <t>Confident in possession; helps build play.</t>
  </si>
  <si>
    <t>TEC-GK-U12U13-1</t>
  </si>
  <si>
    <t>Can the goalkeeper catch and hold shots and crosses cleanly?</t>
  </si>
  <si>
    <t>Often spills or drops the ball under pressure.</t>
  </si>
  <si>
    <t>Catches easy balls, parries or fumbles harder ones.</t>
  </si>
  <si>
    <t>Holds routine shots; struggles with crosses and power.</t>
  </si>
  <si>
    <t>Catches most shots and crosses cleanly.</t>
  </si>
  <si>
    <t>Commands the area, catches confidently under pressure.</t>
  </si>
  <si>
    <t>TEC-GK-U12U13-2</t>
  </si>
  <si>
    <t>Does the goalkeeper set their feet and body behind the ball?</t>
  </si>
  <si>
    <t>Flat-footed; dives at balls they could save standing.</t>
  </si>
  <si>
    <t>Reacts late, often off-balance when shots come.</t>
  </si>
  <si>
    <t>Sets feet for straight shots, caught out wide.</t>
  </si>
  <si>
    <t>Usually balanced and behind the ball to save.</t>
  </si>
  <si>
    <t>Quick, balanced footwork; gets behind everything reachable.</t>
  </si>
  <si>
    <t>TEC-GK-U12U13-3</t>
  </si>
  <si>
    <t>Can the goalkeeper distribute the ball accurately to a teammate?</t>
  </si>
  <si>
    <t>Boots it aimlessly; possession usually lost.</t>
  </si>
  <si>
    <t>Clears long with little accuracy or intention.</t>
  </si>
  <si>
    <t>Finds a teammate when unpressured and simple.</t>
  </si>
  <si>
    <t>Rolls or passes accurately to start attacks.</t>
  </si>
  <si>
    <t>Picks the right pass to beat the first press.</t>
  </si>
  <si>
    <t>TEC-GK-U12U13-4</t>
  </si>
  <si>
    <t>Does the goalkeeper handle back-passes and use their feet?</t>
  </si>
  <si>
    <t>Panics with the ball at feet; often miskicks.</t>
  </si>
  <si>
    <t>Only hoofs it clear, uncomfortable in possession.</t>
  </si>
  <si>
    <t>Manages simple back-passes, rushed under pressure.</t>
  </si>
  <si>
    <t>Controls and passes back-passes calmly.</t>
  </si>
  <si>
    <t>Comfortable in possession, acts like an extra defender.</t>
  </si>
  <si>
    <t>TEC-GK-U14U15-1</t>
  </si>
  <si>
    <t>Does the goalkeeper handle shots and crosses reliably under pressure?</t>
  </si>
  <si>
    <t>Unreliable handling; spills lead to chances.</t>
  </si>
  <si>
    <t>Holds routine shots, struggles with crosses.</t>
  </si>
  <si>
    <t>Reliable with shots, hesitant on crosses.</t>
  </si>
  <si>
    <t>Handles shots and crosses reliably under pressure.</t>
  </si>
  <si>
    <t>Dominant handler; claims crosses and holds everything.</t>
  </si>
  <si>
    <t>TEC-GK-U14U15-2</t>
  </si>
  <si>
    <t>Is the goalkeeper's footwork and shot-stopping technique sound?</t>
  </si>
  <si>
    <t>Poor footwork; beaten by saveable shots.</t>
  </si>
  <si>
    <t>Set for central shots, weak going wide.</t>
  </si>
  <si>
    <t>Sound technique for straightforward shots.</t>
  </si>
  <si>
    <t>Good footwork; strong shot-stopping across the goal.</t>
  </si>
  <si>
    <t>Excellent technique; makes difficult saves look routine.</t>
  </si>
  <si>
    <t>TEC-GK-U14U15-3</t>
  </si>
  <si>
    <t>Can the goalkeeper distribute accurately to start attacks?</t>
  </si>
  <si>
    <t>Distribution is aimless and loses possession.</t>
  </si>
  <si>
    <t>Long clearances only, little accuracy.</t>
  </si>
  <si>
    <t>Accurate over short range, riskier long.</t>
  </si>
  <si>
    <t>Distributes accurately to start attacks.</t>
  </si>
  <si>
    <t>Varied, accurate distribution that beats the press.</t>
  </si>
  <si>
    <t>TEC-GK-U14U15-4</t>
  </si>
  <si>
    <t>Does the goalkeeper use their feet to support the defence?</t>
  </si>
  <si>
    <t>A liability with the ball at feet.</t>
  </si>
  <si>
    <t>Only clears; avoids playing out.</t>
  </si>
  <si>
    <t>Plays simple passes under little pressure.</t>
  </si>
  <si>
    <t>Comfortable in possession; supports the defence.</t>
  </si>
  <si>
    <t>Acts as an outfield player when building play.</t>
  </si>
  <si>
    <t>TEC-GK-U16U17-1</t>
  </si>
  <si>
    <t>Is the goalkeeper's handling and command of the area of a high standard?</t>
  </si>
  <si>
    <t>Unconvincing handling; rarely commands the area.</t>
  </si>
  <si>
    <t>Holds shots but stays rooted to the line.</t>
  </si>
  <si>
    <t>Commands the area in straightforward situations.</t>
  </si>
  <si>
    <t>Handles well and commands the area confidently.</t>
  </si>
  <si>
    <t>Dominates the area; claims and holds under pressure.</t>
  </si>
  <si>
    <t>TEC-GK-U16U17-2</t>
  </si>
  <si>
    <t>Is the goalkeeper's shot-stopping technique reliable and strong?</t>
  </si>
  <si>
    <t>Technique breaks down under real pressure.</t>
  </si>
  <si>
    <t>Stops what they should, no more.</t>
  </si>
  <si>
    <t>Reliable on routine shots, beaten by quality.</t>
  </si>
  <si>
    <t>Strong, reliable shot-stopping across the goal.</t>
  </si>
  <si>
    <t>Outstanding shot-stopper; makes match-winning saves.</t>
  </si>
  <si>
    <t>TEC-GK-U16U17-3</t>
  </si>
  <si>
    <t>Does the goalkeeper distribute with range, accuracy, and intent?</t>
  </si>
  <si>
    <t>Distribution lacks range and gives possession away.</t>
  </si>
  <si>
    <t>Safe distribution only; little intent.</t>
  </si>
  <si>
    <t>Accurate short, limited long-range threat.</t>
  </si>
  <si>
    <t>Distributes with range, accuracy, and intent.</t>
  </si>
  <si>
    <t>Launches attacks; distribution is a genuine weapon.</t>
  </si>
  <si>
    <t>TEC-GK-U16U17-4</t>
  </si>
  <si>
    <t>Is the goalkeeper a reliable extra player in possession?</t>
  </si>
  <si>
    <t>Cannot be trusted with the ball.</t>
  </si>
  <si>
    <t>Plays only the safest, simplest pass.</t>
  </si>
  <si>
    <t>Comfortable under light pressure only.</t>
  </si>
  <si>
    <t>Reliable in possession under real pressure.</t>
  </si>
  <si>
    <t>Composed extra defender; key to building play.</t>
  </si>
  <si>
    <t>PHY-ALL-U6U7-1</t>
  </si>
  <si>
    <t>Physical</t>
  </si>
  <si>
    <t>All</t>
  </si>
  <si>
    <t>Can the player run, stop, and change direction with balance?</t>
  </si>
  <si>
    <t>Falls or stumbles often when changing direction.</t>
  </si>
  <si>
    <t>Runs straight but loses balance turning.</t>
  </si>
  <si>
    <t>Turns and stops, sometimes off-balance.</t>
  </si>
  <si>
    <t>Changes direction with control most times.</t>
  </si>
  <si>
    <t>Runs, stops, and turns smoothly and confidently.</t>
  </si>
  <si>
    <t>PHY-ALL-U6U7-2</t>
  </si>
  <si>
    <t>Does the player keep active and try hard all session?</t>
  </si>
  <si>
    <t>Tires quickly; stands still often.</t>
  </si>
  <si>
    <t>Joins in briefly, then drifts off.</t>
  </si>
  <si>
    <t>Active in bursts; needs encouragement.</t>
  </si>
  <si>
    <t>Keeps moving for most of the session.</t>
  </si>
  <si>
    <t>Full of energy throughout; always involved.</t>
  </si>
  <si>
    <t>PHY-ALL-U6U7-3</t>
  </si>
  <si>
    <t>Does the player react quickly to a loose ball?</t>
  </si>
  <si>
    <t>Slow to react; others reach it first.</t>
  </si>
  <si>
    <t>Reacts late; beaten to most balls.</t>
  </si>
  <si>
    <t>Gets to some loose balls nearby.</t>
  </si>
  <si>
    <t>Quick to react and reach loose balls.</t>
  </si>
  <si>
    <t>First to react; wins most loose balls.</t>
  </si>
  <si>
    <t>PHY-ALL-U6U7-4</t>
  </si>
  <si>
    <t>Does the player stay on their feet when bumped?</t>
  </si>
  <si>
    <t>Falls over with any contact at all.</t>
  </si>
  <si>
    <t>Wobbles and often goes to ground.</t>
  </si>
  <si>
    <t>Stays up sometimes, falls under pressure.</t>
  </si>
  <si>
    <t>Keeps balance through light contact.</t>
  </si>
  <si>
    <t>Strong balance; rarely knocked off the ball.</t>
  </si>
  <si>
    <t>PHY-ALL-U8U9-1</t>
  </si>
  <si>
    <t>Can the player change direction quickly without slowing much?</t>
  </si>
  <si>
    <t>Slows right down or stops to turn.</t>
  </si>
  <si>
    <t>Turns awkwardly, losing lots of speed.</t>
  </si>
  <si>
    <t>Changes direction, but loses pace doing it.</t>
  </si>
  <si>
    <t>Turns quickly, keeping most of their speed.</t>
  </si>
  <si>
    <t>Sharp changes of direction at full speed.</t>
  </si>
  <si>
    <t>PHY-ALL-U8U9-2</t>
  </si>
  <si>
    <t>Does the player keep working for the whole session?</t>
  </si>
  <si>
    <t>Stops running after a few minutes.</t>
  </si>
  <si>
    <t>Works hard early, fades quickly.</t>
  </si>
  <si>
    <t>Works in spells, tires in busy periods.</t>
  </si>
  <si>
    <t>Keeps working for most of the session.</t>
  </si>
  <si>
    <t>Same energy at the end as the start.</t>
  </si>
  <si>
    <t>PHY-ALL-U8U9-3</t>
  </si>
  <si>
    <t>Is the player quick over the first few steps?</t>
  </si>
  <si>
    <t>Slow to start; last to react.</t>
  </si>
  <si>
    <t>Gets going late off the mark.</t>
  </si>
  <si>
    <t>Average start; neither quick nor slow.</t>
  </si>
  <si>
    <t>Quick over the first few steps.</t>
  </si>
  <si>
    <t>Explosive first steps; beats others to the ball.</t>
  </si>
  <si>
    <t>PHY-ALL-U8U9-4</t>
  </si>
  <si>
    <t>Does the player stay balanced when challenged for the ball?</t>
  </si>
  <si>
    <t>Easily knocked off the ball by contact.</t>
  </si>
  <si>
    <t>Loses balance when an opponent leans in.</t>
  </si>
  <si>
    <t>Holds up under light contact only.</t>
  </si>
  <si>
    <t>Stays balanced through most challenges.</t>
  </si>
  <si>
    <t>Strong and steady; shrugs off challenges.</t>
  </si>
  <si>
    <t>PHY-ALL-U10U11-1</t>
  </si>
  <si>
    <t>Does the player keep a high work rate across the game?</t>
  </si>
  <si>
    <t>Walks or stands for long spells.</t>
  </si>
  <si>
    <t>Works in short bursts, then rests.</t>
  </si>
  <si>
    <t>Decent effort, but drops off late.</t>
  </si>
  <si>
    <t>Works hard for most of the game.</t>
  </si>
  <si>
    <t>Relentless work rate from start to finish.</t>
  </si>
  <si>
    <t>PHY-ALL-U10U11-2</t>
  </si>
  <si>
    <t>Is the player quick to accelerate into space?</t>
  </si>
  <si>
    <t>Slow to get going; rarely beats others.</t>
  </si>
  <si>
    <t>Reaches top speed too slowly to matter.</t>
  </si>
  <si>
    <t>Accelerates enough in open space.</t>
  </si>
  <si>
    <t>Accelerates quickly into space.</t>
  </si>
  <si>
    <t>Explosive acceleration; regularly beats opponents to it.</t>
  </si>
  <si>
    <t>PHY-ALL-U10U11-3</t>
  </si>
  <si>
    <t>Can the player change direction sharply when running?</t>
  </si>
  <si>
    <t>Slows right down to change direction.</t>
  </si>
  <si>
    <t>Turns sluggishly; loses speed and balance.</t>
  </si>
  <si>
    <t>Changes direction well at moderate speed.</t>
  </si>
  <si>
    <t>Changes direction sharply while running.</t>
  </si>
  <si>
    <t>Explosive, balanced changes of direction at speed.</t>
  </si>
  <si>
    <t>PHY-ALL-U10U11-4</t>
  </si>
  <si>
    <t>Does the player compete physically for the ball?</t>
  </si>
  <si>
    <t>Backs out of physical challenges.</t>
  </si>
  <si>
    <t>Competes only when sure to win.</t>
  </si>
  <si>
    <t>Contests some duels, avoids others.</t>
  </si>
  <si>
    <t>Competes for most physical challenges.</t>
  </si>
  <si>
    <t>Wins physical duels; relishes the contest.</t>
  </si>
  <si>
    <t>PHY-ALL-U12U13-1</t>
  </si>
  <si>
    <t>Does the player maintain effort and running for the full game?</t>
  </si>
  <si>
    <t>Tires early; noticeable drop after minutes.</t>
  </si>
  <si>
    <t>Fades well before the final whistle.</t>
  </si>
  <si>
    <t>Holds up until late, then drops.</t>
  </si>
  <si>
    <t>Keeps running strongly for the full game.</t>
  </si>
  <si>
    <t>Covers ground tirelessly the whole match.</t>
  </si>
  <si>
    <t>PHY-ALL-U12U13-2</t>
  </si>
  <si>
    <t>Is the player strong when shielding or competing for the ball?</t>
  </si>
  <si>
    <t>Easily shrugged off the ball.</t>
  </si>
  <si>
    <t>Holds the ball only against weaker opponents.</t>
  </si>
  <si>
    <t>Shields the ball in some situations.</t>
  </si>
  <si>
    <t>Holds off opponents to protect the ball.</t>
  </si>
  <si>
    <t>Strong in duels; wins the ball consistently.</t>
  </si>
  <si>
    <t>PHY-ALL-U12U13-3</t>
  </si>
  <si>
    <t>Does the player show speed to beat opponents to the ball?</t>
  </si>
  <si>
    <t>Beaten to most balls in a race.</t>
  </si>
  <si>
    <t>Loses most sprints for the ball.</t>
  </si>
  <si>
    <t>Wins races when starting level.</t>
  </si>
  <si>
    <t>Regularly beats opponents to the ball.</t>
  </si>
  <si>
    <t>Rapid; wins races even starting behind.</t>
  </si>
  <si>
    <t>PHY-ALL-U12U13-4</t>
  </si>
  <si>
    <t>Can the player make repeated recovery runs?</t>
  </si>
  <si>
    <t>One effort, then jogs or stops.</t>
  </si>
  <si>
    <t>Recovers slowly; often too late.</t>
  </si>
  <si>
    <t>Recovers when the danger is obvious.</t>
  </si>
  <si>
    <t>Makes repeated recovery runs when needed.</t>
  </si>
  <si>
    <t>Sprints back repeatedly without dropping off.</t>
  </si>
  <si>
    <t>PHY-ALL-U14U15-1</t>
  </si>
  <si>
    <t>Does the player sustain a high intensity across the whole match?</t>
  </si>
  <si>
    <t>Intensity drops sharply after early effort.</t>
  </si>
  <si>
    <t>Struggles to maintain tempo past halfway.</t>
  </si>
  <si>
    <t>Holds intensity until the closing stages.</t>
  </si>
  <si>
    <t>Sustains high intensity for the full match.</t>
  </si>
  <si>
    <t>Same high tempo in the last minute.</t>
  </si>
  <si>
    <t>PHY-ALL-U14U15-2</t>
  </si>
  <si>
    <t>Is the player strong in physical duels?</t>
  </si>
  <si>
    <t>Loses most physical battles for the ball.</t>
  </si>
  <si>
    <t>Competes but comes off second best.</t>
  </si>
  <si>
    <t>Wins duels against similar opponents.</t>
  </si>
  <si>
    <t>Wins most physical duels comfortably.</t>
  </si>
  <si>
    <t>Dominant physically; rarely loses a duel.</t>
  </si>
  <si>
    <t>PHY-ALL-U14U15-3</t>
  </si>
  <si>
    <t>Does the player have the pace to affect the game?</t>
  </si>
  <si>
    <t>Lacks the speed to influence play.</t>
  </si>
  <si>
    <t>Rarely uses pace to gain advantage.</t>
  </si>
  <si>
    <t>Pace helps in some situations.</t>
  </si>
  <si>
    <t>Uses pace to beat opponents regularly.</t>
  </si>
  <si>
    <t>Game-changing pace; stretches defences repeatedly.</t>
  </si>
  <si>
    <t>PHY-ALL-U14U15-4</t>
  </si>
  <si>
    <t>Can the player produce repeated sprints without fading?</t>
  </si>
  <si>
    <t>One sprint, then noticeably slower.</t>
  </si>
  <si>
    <t>Second and third sprints drop off fast.</t>
  </si>
  <si>
    <t>Repeats efforts, but tires by late game.</t>
  </si>
  <si>
    <t>Repeats sprints with little drop-off.</t>
  </si>
  <si>
    <t>Repeats maximal sprints throughout the game.</t>
  </si>
  <si>
    <t>PHY-ALL-U16U17-1</t>
  </si>
  <si>
    <t>Does the player maintain athletic output for the whole game?</t>
  </si>
  <si>
    <t>Output falls away well before full time.</t>
  </si>
  <si>
    <t>Noticeable decline in the second half.</t>
  </si>
  <si>
    <t>Holds up until the final ten minutes.</t>
  </si>
  <si>
    <t>Maintains output across the whole game.</t>
  </si>
  <si>
    <t>As athletic at the end as the start.</t>
  </si>
  <si>
    <t>PHY-ALL-U16U17-2</t>
  </si>
  <si>
    <t>Is the player strong and robust in physical situations?</t>
  </si>
  <si>
    <t>Weak in contact; easily knocked off balance.</t>
  </si>
  <si>
    <t>Competes physically only against weaker opponents.</t>
  </si>
  <si>
    <t>Holds their own in most physical situations.</t>
  </si>
  <si>
    <t>Strong and robust in physical situations.</t>
  </si>
  <si>
    <t>Physically imposing; wins contact and holds firm.</t>
  </si>
  <si>
    <t>PHY-ALL-U16U17-3</t>
  </si>
  <si>
    <t>Does the player show explosive power when it matters?</t>
  </si>
  <si>
    <t>Lacks explosive power in key moments.</t>
  </si>
  <si>
    <t>Rarely produces a decisive burst of power.</t>
  </si>
  <si>
    <t>Shows explosive power in some situations.</t>
  </si>
  <si>
    <t>Produces explosive power in key moments.</t>
  </si>
  <si>
    <t>Explosively powerful; decisive in the biggest moments.</t>
  </si>
  <si>
    <t>PHY-ALL-U16U17-4</t>
  </si>
  <si>
    <t>Can the player recover quickly between high-intensity efforts?</t>
  </si>
  <si>
    <t>Needs long rest after each effort.</t>
  </si>
  <si>
    <t>Slow to recover; efforts drop off.</t>
  </si>
  <si>
    <t>Recovers adequately in normal passages.</t>
  </si>
  <si>
    <t>Recovers quickly between intense efforts.</t>
  </si>
  <si>
    <t>Near-instant recovery; ready for the next sprint.</t>
  </si>
  <si>
    <t>TAC-OUT-U6U7-1</t>
  </si>
  <si>
    <t>Tactical</t>
  </si>
  <si>
    <t>Does the player move into space away from the crowd?</t>
  </si>
  <si>
    <t>Follows the ball in a crowd constantly.</t>
  </si>
  <si>
    <t>Stays in the pack, rarely finds space.</t>
  </si>
  <si>
    <t>Sometimes moves out to find space.</t>
  </si>
  <si>
    <t>Often moves into space away from others.</t>
  </si>
  <si>
    <t>Always finds space; avoids the crowd well.</t>
  </si>
  <si>
    <t>TAC-OUT-U6U7-2</t>
  </si>
  <si>
    <t>Does the player look for a teammate to pass to?</t>
  </si>
  <si>
    <t>Only looks at the ball, never teammates.</t>
  </si>
  <si>
    <t>Kicks it away without looking up.</t>
  </si>
  <si>
    <t>Sometimes spots a teammate before passing.</t>
  </si>
  <si>
    <t>Usually looks for a teammate to pass to.</t>
  </si>
  <si>
    <t>Regularly finds teammates with a good pass.</t>
  </si>
  <si>
    <t>TAC-OUT-U6U7-3</t>
  </si>
  <si>
    <t>Does the player try to win the ball back?</t>
  </si>
  <si>
    <t>Stops or stands when the ball is lost.</t>
  </si>
  <si>
    <t>Watches others try to win it.</t>
  </si>
  <si>
    <t>Chases the ball sometimes.</t>
  </si>
  <si>
    <t>Tries to win the ball back most times.</t>
  </si>
  <si>
    <t>First to chase; keen to win it back.</t>
  </si>
  <si>
    <t>TAC-OUT-U6U7-4</t>
  </si>
  <si>
    <t>Does the player know which way to attack and defend?</t>
  </si>
  <si>
    <t>Often runs toward the wrong goal.</t>
  </si>
  <si>
    <t>Unsure which way to go without help.</t>
  </si>
  <si>
    <t>Knows the direction most of the time.</t>
  </si>
  <si>
    <t>Attacks and defends the right way.</t>
  </si>
  <si>
    <t>Always clear on which way to play.</t>
  </si>
  <si>
    <t>TAC-OUT-U8U9-1</t>
  </si>
  <si>
    <t>Does the player find space to receive the ball?</t>
  </si>
  <si>
    <t>Stands still or hides behind opponents.</t>
  </si>
  <si>
    <t>Moves only toward the ball.</t>
  </si>
  <si>
    <t>Finds space when it's obvious.</t>
  </si>
  <si>
    <t>Regularly finds space to receive.</t>
  </si>
  <si>
    <t>Constantly finds good space to receive.</t>
  </si>
  <si>
    <t>TAC-OUT-U8U9-2</t>
  </si>
  <si>
    <t>Does the player look around before getting the ball?</t>
  </si>
  <si>
    <t>Never looks up; surprised by opponents.</t>
  </si>
  <si>
    <t>Glances rarely, mostly head down.</t>
  </si>
  <si>
    <t>Looks up when reminded.</t>
  </si>
  <si>
    <t>Usually checks around before receiving.</t>
  </si>
  <si>
    <t>Scans early; knows what's around them.</t>
  </si>
  <si>
    <t>TAC-OUT-U8U9-3</t>
  </si>
  <si>
    <t>Does the player support the teammate on the ball?</t>
  </si>
  <si>
    <t>Stands and watches the ball-carrier.</t>
  </si>
  <si>
    <t>Too far away to offer help.</t>
  </si>
  <si>
    <t>Supports when the ball is close.</t>
  </si>
  <si>
    <t>Moves to support the ball-carrier.</t>
  </si>
  <si>
    <t>Always offers a useful passing option.</t>
  </si>
  <si>
    <t>TAC-OUT-U8U9-4</t>
  </si>
  <si>
    <t>Does the player react and recover when the ball is lost?</t>
  </si>
  <si>
    <t>Switches off after losing the ball.</t>
  </si>
  <si>
    <t>Reacts slowly; jogs back late.</t>
  </si>
  <si>
    <t>Recovers when the danger is clear.</t>
  </si>
  <si>
    <t>Reacts quickly to recover position.</t>
  </si>
  <si>
    <t>First to react; presses or recovers immediately.</t>
  </si>
  <si>
    <t>TAC-DEF-U10U11-1</t>
  </si>
  <si>
    <t>Does the defender get goalside of their opponent (between them and goal)?</t>
  </si>
  <si>
    <t>Ball-watches; often caught the wrong side of their opponent.</t>
  </si>
  <si>
    <t>Sometimes goalside, but loses position when the ball moves.</t>
  </si>
  <si>
    <t>Usually goalside when the ball is near them.</t>
  </si>
  <si>
    <t>Stays goalside and adjusts as the play shifts.</t>
  </si>
  <si>
    <t>Always goalside; positions early to block the danger.</t>
  </si>
  <si>
    <t>TAC-DEF-U10U11-2</t>
  </si>
  <si>
    <t>Does the defender stay on their feet and delay rather than diving in?</t>
  </si>
  <si>
    <t>Dives in early; easily beaten by a dribble.</t>
  </si>
  <si>
    <t>Rushes out to tackle, mistimes it often.</t>
  </si>
  <si>
    <t>Sometimes jockeys, sometimes lunges in too soon.</t>
  </si>
  <si>
    <t>Usually stays on feet and delays the attacker.</t>
  </si>
  <si>
    <t>Patiently jockeys, forces mistakes, tackles at the right moment.</t>
  </si>
  <si>
    <t>TAC-DEF-U10U11-3</t>
  </si>
  <si>
    <t>Does the defender track their runner instead of ball-watching?</t>
  </si>
  <si>
    <t>Watches the ball; lets runners go past unmarked.</t>
  </si>
  <si>
    <t>Notices runners late, often after they've received.</t>
  </si>
  <si>
    <t>Tracks the obvious runner but misses others.</t>
  </si>
  <si>
    <t>Tracks their runner and stays close to them.</t>
  </si>
  <si>
    <t>Tracks runners early and reads the next pass.</t>
  </si>
  <si>
    <t>TAC-DEF-U10U11-4</t>
  </si>
  <si>
    <t>When the team loses the ball, does the defender recover toward goal?</t>
  </si>
  <si>
    <t>Stops or stands still after losing possession.</t>
  </si>
  <si>
    <t>Reacts slowly; jogs back without urgency.</t>
  </si>
  <si>
    <t>Recovers, but only when the danger is obvious.</t>
  </si>
  <si>
    <t>Recovers quickly toward their own goal.</t>
  </si>
  <si>
    <t>Sprints back first, organises others as they recover.</t>
  </si>
  <si>
    <t>TAC-DEF-U12U13-1</t>
  </si>
  <si>
    <t>Does the defender position themselves to protect the goal and cover space?</t>
  </si>
  <si>
    <t>Out of position; leaves dangerous space open.</t>
  </si>
  <si>
    <t>Marks the ball, forgets the space behind.</t>
  </si>
  <si>
    <t>Covers space when the danger is obvious.</t>
  </si>
  <si>
    <t>Positions well to protect goal and space.</t>
  </si>
  <si>
    <t>Reads danger early; covers space before it's needed.</t>
  </si>
  <si>
    <t>TAC-DEF-U12U13-2</t>
  </si>
  <si>
    <t>Does the defender defend one-v-one effectively?</t>
  </si>
  <si>
    <t>Beaten easily; dives in or backs off.</t>
  </si>
  <si>
    <t>Wins the ball only against weak attackers.</t>
  </si>
  <si>
    <t>Delays well but mistimes the tackle.</t>
  </si>
  <si>
    <t>Jockeys and tackles one-v-one effectively.</t>
  </si>
  <si>
    <t>Rarely beaten; times tackles and interceptions superbly.</t>
  </si>
  <si>
    <t>TAC-DEF-U12U13-3</t>
  </si>
  <si>
    <t>Does the defender mark and track runners in behind?</t>
  </si>
  <si>
    <t>Loses runners; caught watching the ball.</t>
  </si>
  <si>
    <t>Tracks the first runner, loses secondary ones.</t>
  </si>
  <si>
    <t>Tracks runners when they're obvious.</t>
  </si>
  <si>
    <t>Marks and tracks runners in behind well.</t>
  </si>
  <si>
    <t>Anticipates runs; steps out or tracks decisively.</t>
  </si>
  <si>
    <t>TAC-DEF-U12U13-4</t>
  </si>
  <si>
    <t>Does the defender recover and cover teammates?</t>
  </si>
  <si>
    <t>No recovery; leaves teammates exposed.</t>
  </si>
  <si>
    <t>Recovers late, rarely covers others.</t>
  </si>
  <si>
    <t>Recovers for themselves, not for teammates.</t>
  </si>
  <si>
    <t>Recovers quickly and covers teammates.</t>
  </si>
  <si>
    <t>Organises cover; first to protect the danger.</t>
  </si>
  <si>
    <t>TAC-DEF-U14U15-1</t>
  </si>
  <si>
    <t>Does the defender read the game and anticipate danger?</t>
  </si>
  <si>
    <t>Reacts late; always a step behind play.</t>
  </si>
  <si>
    <t>Anticipates only the most obvious threats.</t>
  </si>
  <si>
    <t>Reads straightforward situations well.</t>
  </si>
  <si>
    <t>Anticipates danger and acts early.</t>
  </si>
  <si>
    <t>Reads the game superbly; snuffs out attacks early.</t>
  </si>
  <si>
    <t>TAC-DEF-U14U15-2</t>
  </si>
  <si>
    <t>Does the defender make good decisions when to engage or hold?</t>
  </si>
  <si>
    <t>Dives in or backs off at wrong moments.</t>
  </si>
  <si>
    <t>Engages or holds without clear reason.</t>
  </si>
  <si>
    <t>Decisions are sound in simple situations.</t>
  </si>
  <si>
    <t>Chooses well when to engage or hold.</t>
  </si>
  <si>
    <t>Masterful judgement; forces attackers into mistakes.</t>
  </si>
  <si>
    <t>TAC-DEF-U14U15-3</t>
  </si>
  <si>
    <t>Does the defender defend as part of a unit?</t>
  </si>
  <si>
    <t>Defends alone; ignores the defensive line.</t>
  </si>
  <si>
    <t>Holds a line only when reminded.</t>
  </si>
  <si>
    <t>Works with the unit in settled play.</t>
  </si>
  <si>
    <t>Defends well as part of the unit.</t>
  </si>
  <si>
    <t>Marshals the line; keeps the unit compact.</t>
  </si>
  <si>
    <t>TAC-DEF-U14U15-4</t>
  </si>
  <si>
    <t>Does the defender deal with crosses and defend the box?</t>
  </si>
  <si>
    <t>Loses markers and attackers in the box.</t>
  </si>
  <si>
    <t>Struggles to clear or head under pressure.</t>
  </si>
  <si>
    <t>Deals with straightforward crosses only.</t>
  </si>
  <si>
    <t>Defends crosses and the box reliably.</t>
  </si>
  <si>
    <t>Dominant in the box; heads and clears authoritatively.</t>
  </si>
  <si>
    <t>TAC-DEF-U16U17-1</t>
  </si>
  <si>
    <t>Does the defender consistently read and control defensive situations?</t>
  </si>
  <si>
    <t>Repeatedly caught out; poor game reading.</t>
  </si>
  <si>
    <t>Reads the game only in easy phases.</t>
  </si>
  <si>
    <t>Controls most straightforward defensive situations.</t>
  </si>
  <si>
    <t>Reads and controls defensive situations consistently.</t>
  </si>
  <si>
    <t>Reads at a high level; neutralises danger early.</t>
  </si>
  <si>
    <t>TAC-DEF-U16U17-2</t>
  </si>
  <si>
    <t>Does the defender defend one-v-one against quality attackers?</t>
  </si>
  <si>
    <t>Beaten regularly by good attackers.</t>
  </si>
  <si>
    <t>Competes but loses key one-v-one battles.</t>
  </si>
  <si>
    <t>Holds his own against most attackers.</t>
  </si>
  <si>
    <t>Wins one-v-one battles against quality attackers.</t>
  </si>
  <si>
    <t>Rarely beaten; dominates even top attackers.</t>
  </si>
  <si>
    <t>TAC-DEF-U16U17-3</t>
  </si>
  <si>
    <t>Does the defender organise and lead the defensive unit?</t>
  </si>
  <si>
    <t>Offers no organisation; unit lacks shape.</t>
  </si>
  <si>
    <t>Organises only when prompted by others.</t>
  </si>
  <si>
    <t>Organises the unit in settled moments.</t>
  </si>
  <si>
    <t>Organises and leads the defensive unit.</t>
  </si>
  <si>
    <t>Commands the defence; dictates line and shape.</t>
  </si>
  <si>
    <t>TAC-DEF-U16U17-4</t>
  </si>
  <si>
    <t>Does the defender defend the box and win aerial duels?</t>
  </si>
  <si>
    <t>Loses aerial duels and box battles.</t>
  </si>
  <si>
    <t>Competes in the air inconsistently.</t>
  </si>
  <si>
    <t>Wins routine aerial and box duels.</t>
  </si>
  <si>
    <t>Wins aerial duels and defends the box well.</t>
  </si>
  <si>
    <t>Dominant aerially; commands the entire box.</t>
  </si>
  <si>
    <t>TAC-MID-U10U11-1</t>
  </si>
  <si>
    <t>Does the midfielder move into space to offer a passing option?</t>
  </si>
  <si>
    <t>Stands still; rarely available for a pass.</t>
  </si>
  <si>
    <t>Moves toward the ball, crowding the passer.</t>
  </si>
  <si>
    <t>Finds space sometimes, but drifts out of play.</t>
  </si>
  <si>
    <t>Regularly moves into space to offer an angle.</t>
  </si>
  <si>
    <t>Constantly repositions to stay available across the pitch.</t>
  </si>
  <si>
    <t>TAC-MID-U10U11-2</t>
  </si>
  <si>
    <t>Does the midfielder check their shoulders before receiving?</t>
  </si>
  <si>
    <t>Never looks; surprised by pressure when the ball arrives.</t>
  </si>
  <si>
    <t>Glances only when reminded, rarely before receiving.</t>
  </si>
  <si>
    <t>Checks once, but misses pressure from behind.</t>
  </si>
  <si>
    <t>Scans before receiving and turns away from pressure.</t>
  </si>
  <si>
    <t>Scans early and often; always knows their options.</t>
  </si>
  <si>
    <t>TAC-MID-U10U11-3</t>
  </si>
  <si>
    <t>Does the midfielder link play rather than always dribbling?</t>
  </si>
  <si>
    <t>Always dribbles; rarely passes to teammates.</t>
  </si>
  <si>
    <t>Holds the ball too long before losing it.</t>
  </si>
  <si>
    <t>Passes when easy, dribbles into trouble otherwise.</t>
  </si>
  <si>
    <t>Usually passes and moves to keep play flowing.</t>
  </si>
  <si>
    <t>Links play quickly, choosing pass or dribble well.</t>
  </si>
  <si>
    <t>TAC-MID-U10U11-4</t>
  </si>
  <si>
    <t>Does the midfielder work both ways to support attack and defence?</t>
  </si>
  <si>
    <t>Stays in one area; watches play go by.</t>
  </si>
  <si>
    <t>Involved in spells, but often caught out of position.</t>
  </si>
  <si>
    <t>Supports the attack but is slow to recover defensively.</t>
  </si>
  <si>
    <t>Supports attack and recovers to help defend.</t>
  </si>
  <si>
    <t>Tirelessly links both ends, always in the game.</t>
  </si>
  <si>
    <t>TAC-MID-U12U13-1</t>
  </si>
  <si>
    <t>Does the midfielder position to receive and progress the ball?</t>
  </si>
  <si>
    <t>Hides or gets caught in traffic.</t>
  </si>
  <si>
    <t>Available only for a simple sideways pass.</t>
  </si>
  <si>
    <t>Receives well, but rarely progresses play.</t>
  </si>
  <si>
    <t>Positions to receive and move play forward.</t>
  </si>
  <si>
    <t>Always finds pockets to receive and progress.</t>
  </si>
  <si>
    <t>TAC-MID-U12U13-2</t>
  </si>
  <si>
    <t>Does the midfielder scan and play with awareness of pressure?</t>
  </si>
  <si>
    <t>Head down; caught in possession repeatedly.</t>
  </si>
  <si>
    <t>Aware only when unpressured.</t>
  </si>
  <si>
    <t>Scans in settled play, caught under pressure.</t>
  </si>
  <si>
    <t>Scans and plays aware of pressure.</t>
  </si>
  <si>
    <t>Constant awareness; escapes pressure with first touch.</t>
  </si>
  <si>
    <t>TAC-MID-U12U13-3</t>
  </si>
  <si>
    <t>Does the midfielder pick the right pass to keep or progress?</t>
  </si>
  <si>
    <t>Forces passes; frequently gives possession away.</t>
  </si>
  <si>
    <t>Safe passes only; rarely progresses play.</t>
  </si>
  <si>
    <t>Mixes safe and progressive inconsistently.</t>
  </si>
  <si>
    <t>Picks the right pass to keep or progress.</t>
  </si>
  <si>
    <t>Dictates tempo; consistently finds progressive passes.</t>
  </si>
  <si>
    <t>TAC-MID-U12U13-4</t>
  </si>
  <si>
    <t>Does the midfielder contribute in both boxes?</t>
  </si>
  <si>
    <t>Contributes in neither box.</t>
  </si>
  <si>
    <t>Joins attacks but neglects defensive duties.</t>
  </si>
  <si>
    <t>Covers defensively but rarely joins attacks.</t>
  </si>
  <si>
    <t>Contributes in both boxes when needed.</t>
  </si>
  <si>
    <t>Influences both boxes; a genuine all-round threat.</t>
  </si>
  <si>
    <t>TAC-MID-U14U15-1</t>
  </si>
  <si>
    <t>Does the midfielder control the tempo of the game?</t>
  </si>
  <si>
    <t>No influence on tempo; plays at one speed.</t>
  </si>
  <si>
    <t>Follows the game's tempo, rarely sets it.</t>
  </si>
  <si>
    <t>Controls tempo in settled periods.</t>
  </si>
  <si>
    <t>Controls and varies the tempo well.</t>
  </si>
  <si>
    <t>Dictates tempo; speeds up or slows the game.</t>
  </si>
  <si>
    <t>TAC-MID-U14U15-2</t>
  </si>
  <si>
    <t>Does the midfielder receive under pressure and keep possession?</t>
  </si>
  <si>
    <t>Loses the ball under any real pressure.</t>
  </si>
  <si>
    <t>Retains possession in moderate pressure.</t>
  </si>
  <si>
    <t>Receives under pressure and keeps possession.</t>
  </si>
  <si>
    <t>Escapes tight pressure and retains possession consistently.</t>
  </si>
  <si>
    <t>TAC-MID-U14U15-3</t>
  </si>
  <si>
    <t>Does the midfielder create and break lines with passing?</t>
  </si>
  <si>
    <t>Passing is safe and rarely threatens.</t>
  </si>
  <si>
    <t>Breaks lines only when it's obvious.</t>
  </si>
  <si>
    <t>Progresses play, creates occasionally.</t>
  </si>
  <si>
    <t>Breaks lines and creates chances regularly.</t>
  </si>
  <si>
    <t>Unlocks defences; passing is a real weapon.</t>
  </si>
  <si>
    <t>TAC-MID-U14U15-4</t>
  </si>
  <si>
    <t>Does the midfielder cover ground and impact attack and defence?</t>
  </si>
  <si>
    <t>Limited running; affects neither attack nor defence.</t>
  </si>
  <si>
    <t>Works hard but affects only one end.</t>
  </si>
  <si>
    <t>Contributes to both attack and defence in spells.</t>
  </si>
  <si>
    <t>Covers ground and impacts attack and defence.</t>
  </si>
  <si>
    <t>Dominates box to box; drives attack and defence.</t>
  </si>
  <si>
    <t>TAC-MID-U16U17-1</t>
  </si>
  <si>
    <t>Does the midfielder control games with and without the ball?</t>
  </si>
  <si>
    <t>Passenger; little control over the game.</t>
  </si>
  <si>
    <t>Influences only when the game is comfortable.</t>
  </si>
  <si>
    <t>Controls games in favourable moments.</t>
  </si>
  <si>
    <t>Controls games with and without the ball.</t>
  </si>
  <si>
    <t>Dominates games; dictates play in every phase.</t>
  </si>
  <si>
    <t>TAC-MID-U16U17-2</t>
  </si>
  <si>
    <t>Does the midfielder receive on the half-turn to progress play?</t>
  </si>
  <si>
    <t>Receives square; forced backwards under pressure.</t>
  </si>
  <si>
    <t>Half-turns only when unpressured.</t>
  </si>
  <si>
    <t>Half-turns in favourable moments.</t>
  </si>
  <si>
    <t>Receives on the half-turn to progress under pressure.</t>
  </si>
  <si>
    <t>Always opens out on the half-turn to attack.</t>
  </si>
  <si>
    <t>TAC-MID-U16U17-3</t>
  </si>
  <si>
    <t>Does the midfielder combine creativity with control in passing?</t>
  </si>
  <si>
    <t>Either safe or careless; no balance.</t>
  </si>
  <si>
    <t>Creative but loses possession too often.</t>
  </si>
  <si>
    <t>Balances creativity and control inconsistently.</t>
  </si>
  <si>
    <t>Combines creativity and control in passing.</t>
  </si>
  <si>
    <t>Controls and unlocks games; exceptional passing range.</t>
  </si>
  <si>
    <t>TAC-MID-U16U17-4</t>
  </si>
  <si>
    <t>Does the midfielder dominate the physical and territorial battle?</t>
  </si>
  <si>
    <t>Overrun; loses the midfield battle.</t>
  </si>
  <si>
    <t>Competes but is often second best.</t>
  </si>
  <si>
    <t>Holds his own in the midfield battle.</t>
  </si>
  <si>
    <t>Wins the physical and territorial battle.</t>
  </si>
  <si>
    <t>Dominates midfield; imposes control territorially.</t>
  </si>
  <si>
    <t>TAC-ATT-U10U11-1</t>
  </si>
  <si>
    <t>Does the attacker make runs to get in behind defenders?</t>
  </si>
  <si>
    <t>Stays still; waits for the ball to feet.</t>
  </si>
  <si>
    <t>Runs only after the ball is played.</t>
  </si>
  <si>
    <t>Makes obvious runs, but times them poorly.</t>
  </si>
  <si>
    <t>Regularly runs in behind at the right time.</t>
  </si>
  <si>
    <t>Times runs to beat the defence and stay onside.</t>
  </si>
  <si>
    <t>TAC-ATT-U10U11-2</t>
  </si>
  <si>
    <t>Does the attacker find space to receive facing the goal?</t>
  </si>
  <si>
    <t>Receives with back to goal, gets crowded out.</t>
  </si>
  <si>
    <t>Drifts into space occasionally, mostly marked.</t>
  </si>
  <si>
    <t>Finds space when the ball is close.</t>
  </si>
  <si>
    <t>Gets free to receive facing forward.</t>
  </si>
  <si>
    <t>Constantly finds pockets to turn and attack.</t>
  </si>
  <si>
    <t>TAC-ATT-U10U11-3</t>
  </si>
  <si>
    <t>When the team loses the ball, does the attacker press?</t>
  </si>
  <si>
    <t>Stops working; waits up the pitch.</t>
  </si>
  <si>
    <t>Presses half-heartedly, easily played around.</t>
  </si>
  <si>
    <t>Presses when the ball is near them.</t>
  </si>
  <si>
    <t>Presses the defenders quickly after losing it.</t>
  </si>
  <si>
    <t>Leads the press, triggering teammates to follow.</t>
  </si>
  <si>
    <t>TAC-ATT-U10U11-4</t>
  </si>
  <si>
    <t>Does the attacker try to take defenders on near goal?</t>
  </si>
  <si>
    <t>Avoids one-v-ones; passes backwards instead.</t>
  </si>
  <si>
    <t>Tries only when there's no pressure.</t>
  </si>
  <si>
    <t>Takes players on sometimes, often loses it.</t>
  </si>
  <si>
    <t>Regularly takes defenders on in the final third.</t>
  </si>
  <si>
    <t>Beats defenders confidently and creates chances.</t>
  </si>
  <si>
    <t>TAC-ATT-U12U13-1</t>
  </si>
  <si>
    <t>Does the attacker time runs in behind the defence?</t>
  </si>
  <si>
    <t>Static; offers no threat in behind.</t>
  </si>
  <si>
    <t>Runs too early or too late repeatedly.</t>
  </si>
  <si>
    <t>Times runs when the pass is obvious.</t>
  </si>
  <si>
    <t>Times runs in behind the defence well.</t>
  </si>
  <si>
    <t>Expertly times runs; stretches and beats defences.</t>
  </si>
  <si>
    <t>TAC-ATT-U12U13-2</t>
  </si>
  <si>
    <t>Does the attacker create space to receive and turn?</t>
  </si>
  <si>
    <t>Easily marked; can't get free.</t>
  </si>
  <si>
    <t>Receives facing own goal, gets crowded.</t>
  </si>
  <si>
    <t>Finds space in favourable moments.</t>
  </si>
  <si>
    <t>Creates space to receive and turn.</t>
  </si>
  <si>
    <t>Loses markers constantly; always available to attack.</t>
  </si>
  <si>
    <t>TAC-ATT-U12U13-3</t>
  </si>
  <si>
    <t>Does the attacker lead the press from the front?</t>
  </si>
  <si>
    <t>Doesn't press; leaves teammates exposed.</t>
  </si>
  <si>
    <t>Presses without a trigger, easily bypassed.</t>
  </si>
  <si>
    <t>Presses when the ball is near.</t>
  </si>
  <si>
    <t>Presses well and cuts off options.</t>
  </si>
  <si>
    <t>Leads and directs the press intelligently.</t>
  </si>
  <si>
    <t>TAC-ATT-U12U13-4</t>
  </si>
  <si>
    <t>Does the attacker beat defenders and threaten goal?</t>
  </si>
  <si>
    <t>Rarely beats defenders or threatens goal.</t>
  </si>
  <si>
    <t>Beats defenders but wastes the chance.</t>
  </si>
  <si>
    <t>Beats defenders in favourable situations.</t>
  </si>
  <si>
    <t>Regularly beats defenders and threatens goal.</t>
  </si>
  <si>
    <t>Decisive; beats defenders and creates or scores.</t>
  </si>
  <si>
    <t>TAC-ATT-U14U15-1</t>
  </si>
  <si>
    <t>Does the attacker's movement create and exploit space?</t>
  </si>
  <si>
    <t>Static movement; creates nothing.</t>
  </si>
  <si>
    <t>Moves, but into predictable areas.</t>
  </si>
  <si>
    <t>Creates space in favourable situations.</t>
  </si>
  <si>
    <t>Movement creates and exploits space.</t>
  </si>
  <si>
    <t>Clever movement constantly unbalances defences.</t>
  </si>
  <si>
    <t>TAC-ATT-U14U15-2</t>
  </si>
  <si>
    <t>Does the attacker combine and link with teammates?</t>
  </si>
  <si>
    <t>Isolated; rarely links with teammates.</t>
  </si>
  <si>
    <t>Links in simple situations only.</t>
  </si>
  <si>
    <t>Combines and links play with teammates.</t>
  </si>
  <si>
    <t>Orchestrates attacks; combinations unlock defences.</t>
  </si>
  <si>
    <t>TAC-ATT-U14U15-3</t>
  </si>
  <si>
    <t>Does the attacker press and defend from the front effectively?</t>
  </si>
  <si>
    <t>Offers no defensive work from the front.</t>
  </si>
  <si>
    <t>Presses without purpose or timing.</t>
  </si>
  <si>
    <t>Presses effectively when reminded.</t>
  </si>
  <si>
    <t>Presses and defends from the front well.</t>
  </si>
  <si>
    <t>Sets the defensive tone from the front.</t>
  </si>
  <si>
    <t>TAC-ATT-U14U15-4</t>
  </si>
  <si>
    <t>Is the attacker a consistent goal threat?</t>
  </si>
  <si>
    <t>Rarely a threat on goal.</t>
  </si>
  <si>
    <t>Threatens only from clear chances.</t>
  </si>
  <si>
    <t>Threatens goal in good situations.</t>
  </si>
  <si>
    <t>A consistent threat on goal.</t>
  </si>
  <si>
    <t>Ruthless; converts and creates threats repeatedly.</t>
  </si>
  <si>
    <t>TAC-ATT-U16U17-1</t>
  </si>
  <si>
    <t>Does the attacker's movement consistently beat and unbalance defences?</t>
  </si>
  <si>
    <t>Predictable; defences handle them easily.</t>
  </si>
  <si>
    <t>Occasional threat, mostly well-marshalled.</t>
  </si>
  <si>
    <t>Unbalances defences in favourable moments.</t>
  </si>
  <si>
    <t>Movement consistently beats and unbalances defences.</t>
  </si>
  <si>
    <t>Relentless movement; defences cannot contain them.</t>
  </si>
  <si>
    <t>TAC-ATT-U16U17-2</t>
  </si>
  <si>
    <t>Does the attacker link, create, and finish at a high level?</t>
  </si>
  <si>
    <t>Contributes little to creating or finishing.</t>
  </si>
  <si>
    <t>Does one of link, create, finish.</t>
  </si>
  <si>
    <t>Contributes across phases inconsistently.</t>
  </si>
  <si>
    <t>Links, creates, and finishes at a high level.</t>
  </si>
  <si>
    <t>Decisive in all three; wins games alone.</t>
  </si>
  <si>
    <t>TAC-ATT-U16U17-3</t>
  </si>
  <si>
    <t>Does the attacker lead pressing and structure from the front?</t>
  </si>
  <si>
    <t>No pressing; undermines the team's structure.</t>
  </si>
  <si>
    <t>Presses individually, ignores the structure.</t>
  </si>
  <si>
    <t>Presses within structure in spells.</t>
  </si>
  <si>
    <t>Leads pressing and defensive structure from the front.</t>
  </si>
  <si>
    <t>Orchestrates the press; sets the team's defensive tone.</t>
  </si>
  <si>
    <t>TAC-ATT-U16U17-4</t>
  </si>
  <si>
    <t>Is the attacker a decisive, reliable goal threat?</t>
  </si>
  <si>
    <t>Unreliable; rarely decisive in front of goal.</t>
  </si>
  <si>
    <t>Takes only the simplest chances.</t>
  </si>
  <si>
    <t>Decisive in good chances, inconsistent otherwise.</t>
  </si>
  <si>
    <t>A decisive, reliable goal threat.</t>
  </si>
  <si>
    <t>Prolific finisher; scores in most games.</t>
  </si>
  <si>
    <t>TAC-GK-U10U11-1</t>
  </si>
  <si>
    <t>Does the goalkeeper stand in a good position for their goal?</t>
  </si>
  <si>
    <t>Off their line or badly positioned often.</t>
  </si>
  <si>
    <t>Positioned reasonably only for central shots.</t>
  </si>
  <si>
    <t>Fair position when the ball is central.</t>
  </si>
  <si>
    <t>Positions well for most shots.</t>
  </si>
  <si>
    <t>Reads angles; positions early to narrow shots.</t>
  </si>
  <si>
    <t>TAC-GK-U10U11-2</t>
  </si>
  <si>
    <t>Does the goalkeeper decide well whether to come or stay?</t>
  </si>
  <si>
    <t>Rushes out or stays when wrong.</t>
  </si>
  <si>
    <t>Hesitates; often caught in between.</t>
  </si>
  <si>
    <t>Right decision in simple situations.</t>
  </si>
  <si>
    <t>Usually decides well to come or stay.</t>
  </si>
  <si>
    <t>Reads the situation; comes or stays decisively.</t>
  </si>
  <si>
    <t>TAC-GK-U10U11-3</t>
  </si>
  <si>
    <t>Does the goalkeeper talk to and organise the defenders?</t>
  </si>
  <si>
    <t>Silent; gives defenders no help.</t>
  </si>
  <si>
    <t>Speaks only when the ball is close.</t>
  </si>
  <si>
    <t>Gives simple instructions sometimes.</t>
  </si>
  <si>
    <t>Talks to and organises the defenders.</t>
  </si>
  <si>
    <t>Commands the area; constantly organises the defence.</t>
  </si>
  <si>
    <t>TAC-GK-U10U11-4</t>
  </si>
  <si>
    <t>Does the goalkeeper deal with balls played behind the defence?</t>
  </si>
  <si>
    <t>Stays on the line; leaves through-balls.</t>
  </si>
  <si>
    <t>Reacts late to balls in behind.</t>
  </si>
  <si>
    <t>Deals with obvious through-balls only.</t>
  </si>
  <si>
    <t>Comes out to deal with balls in behind.</t>
  </si>
  <si>
    <t>Sweeps behind the defence; reads danger early.</t>
  </si>
  <si>
    <t>TAC-GK-U12U13-1</t>
  </si>
  <si>
    <t>Does the goalkeeper position and angle correctly for shots?</t>
  </si>
  <si>
    <t>Poor angles; leaves gaps to shoot at.</t>
  </si>
  <si>
    <t>Sets central angles, exposed out wide.</t>
  </si>
  <si>
    <t>Positions well for straightforward shots.</t>
  </si>
  <si>
    <t>Angles and positions correctly for shots.</t>
  </si>
  <si>
    <t>Narrows angles superbly; makes goal look small.</t>
  </si>
  <si>
    <t>TAC-GK-U12U13-2</t>
  </si>
  <si>
    <t>Does the goalkeeper judge crosses and when to claim?</t>
  </si>
  <si>
    <t>Misjudges crosses; stuck on the line.</t>
  </si>
  <si>
    <t>Comes for easy crosses only.</t>
  </si>
  <si>
    <t>Judges central crosses reasonably.</t>
  </si>
  <si>
    <t>Judges crosses and claims when right.</t>
  </si>
  <si>
    <t>Dominates crosses; claims decisively under pressure.</t>
  </si>
  <si>
    <t>TAC-GK-U12U13-3</t>
  </si>
  <si>
    <t>Does the goalkeeper organise and command the defence?</t>
  </si>
  <si>
    <t>Offers no organisation to the defence.</t>
  </si>
  <si>
    <t>Organises only in obvious situations.</t>
  </si>
  <si>
    <t>Gives instructions in settled play.</t>
  </si>
  <si>
    <t>Organises and commands the defence well.</t>
  </si>
  <si>
    <t>Marshals the defence; sets the line and shape.</t>
  </si>
  <si>
    <t>TAC-GK-U12U13-4</t>
  </si>
  <si>
    <t>Does the goalkeeper sweep behind the defensive line?</t>
  </si>
  <si>
    <t>Rooted to the goal; leaves space behind.</t>
  </si>
  <si>
    <t>Slow to react to balls in behind.</t>
  </si>
  <si>
    <t>Sweeps obvious through-balls only.</t>
  </si>
  <si>
    <t>Sweeps behind the defensive line well.</t>
  </si>
  <si>
    <t>Aggressive sweeper; kills danger before it develops.</t>
  </si>
  <si>
    <t>TAC-GK-U14U15-1</t>
  </si>
  <si>
    <t>Does the goalkeeper's positioning consistently narrow the shooter's options?</t>
  </si>
  <si>
    <t>Poor positioning gifts scoring chances.</t>
  </si>
  <si>
    <t>Positions well for central efforts only.</t>
  </si>
  <si>
    <t>Sound positioning in routine situations.</t>
  </si>
  <si>
    <t>Positioning consistently narrows options.</t>
  </si>
  <si>
    <t>Reads shooters; positioning makes scoring very hard.</t>
  </si>
  <si>
    <t>TAC-GK-U14U15-2</t>
  </si>
  <si>
    <t>Does the goalkeeper command the box on crosses and set-pieces?</t>
  </si>
  <si>
    <t>Passive; never leaves the line.</t>
  </si>
  <si>
    <t>Claims only the simplest crosses.</t>
  </si>
  <si>
    <t>Commands the box in easy situations.</t>
  </si>
  <si>
    <t>Commands the box on crosses and set-pieces.</t>
  </si>
  <si>
    <t>Dominant; owns the box under heavy pressure.</t>
  </si>
  <si>
    <t>TAC-GK-U14U15-3</t>
  </si>
  <si>
    <t>Does the goalkeeper organise the defensive line and set-pieces?</t>
  </si>
  <si>
    <t>No organisation; defence lacks shape.</t>
  </si>
  <si>
    <t>Organises only when prompted.</t>
  </si>
  <si>
    <t>Organises in settled defensive moments.</t>
  </si>
  <si>
    <t>Organises the line and set-pieces well.</t>
  </si>
  <si>
    <t>Directs the defence; marshals every set-piece.</t>
  </si>
  <si>
    <t>TAC-GK-U14U15-4</t>
  </si>
  <si>
    <t>Does the goalkeeper act as a sweeper behind the line?</t>
  </si>
  <si>
    <t>Never sweeps; caught on the line.</t>
  </si>
  <si>
    <t>Reacts too slowly to sweep effectively.</t>
  </si>
  <si>
    <t>Sweeps when the danger is clear.</t>
  </si>
  <si>
    <t>Sweeps effectively behind the line.</t>
  </si>
  <si>
    <t>Proactive sweeper; defends a high line confidently.</t>
  </si>
  <si>
    <t>TAC-GK-U16U17-1</t>
  </si>
  <si>
    <t>Is the goalkeeper's positioning and game reading of a high level?</t>
  </si>
  <si>
    <t>Repeatedly caught out by poor positioning.</t>
  </si>
  <si>
    <t>Reads only straightforward shooting situations.</t>
  </si>
  <si>
    <t>Positioning sound in most situations.</t>
  </si>
  <si>
    <t>Positioning and reading at a high level.</t>
  </si>
  <si>
    <t>Reads superbly; positioning neutralises chances before shots.</t>
  </si>
  <si>
    <t>TAC-GK-U16U17-2</t>
  </si>
  <si>
    <t>Does the goalkeeper dominate the box against crosses and pressure?</t>
  </si>
  <si>
    <t>Dominated in the box; stays rooted.</t>
  </si>
  <si>
    <t>Claims only uncontested crosses.</t>
  </si>
  <si>
    <t>Commands the box in routine situations.</t>
  </si>
  <si>
    <t>Dominates the box against crosses and pressure.</t>
  </si>
  <si>
    <t>Owns the box entirely; commands under any pressure.</t>
  </si>
  <si>
    <t>TAC-GK-U16U17-3</t>
  </si>
  <si>
    <t>Does the goalkeeper lead and organise the whole defence?</t>
  </si>
  <si>
    <t>Provides no leadership to the defence.</t>
  </si>
  <si>
    <t>Organises only in simple phases.</t>
  </si>
  <si>
    <t>Leads the defence in settled play.</t>
  </si>
  <si>
    <t>Leads and organises the whole defence.</t>
  </si>
  <si>
    <t>Commands the defence; dictates line, shape, and set-pieces.</t>
  </si>
  <si>
    <t>TAC-GK-U16U17-4</t>
  </si>
  <si>
    <t>Does the goalkeeper sweep and support a high defensive line?</t>
  </si>
  <si>
    <t>Cannot support a high line at all.</t>
  </si>
  <si>
    <t>Hesitant; sweeps too late to help.</t>
  </si>
  <si>
    <t>Sweeps when danger is obvious.</t>
  </si>
  <si>
    <t>Sweeps and supports a high line well.</t>
  </si>
  <si>
    <t>Sweeps proactively; lets the defence push high.</t>
  </si>
  <si>
    <t>PSY-ALL-U6U7-1</t>
  </si>
  <si>
    <t>Psychological</t>
  </si>
  <si>
    <t>How does the player respond after making a mistake?</t>
  </si>
  <si>
    <t>Cries or stops playing when it goes wrong.</t>
  </si>
  <si>
    <t>Gets upset and needs comforting before continuing.</t>
  </si>
  <si>
    <t>Looks deflated, but carries on after a moment.</t>
  </si>
  <si>
    <t>Shrugs it off and keeps playing happily.</t>
  </si>
  <si>
    <t>Not bothered at all; tries again straight away.</t>
  </si>
  <si>
    <t>PSY-ALL-U6U7-2</t>
  </si>
  <si>
    <t>Does the player pay attention during the session?</t>
  </si>
  <si>
    <t>Wanders off or gets distracted almost immediately.</t>
  </si>
  <si>
    <t>Watches other things unless spoken to directly.</t>
  </si>
  <si>
    <t>Listens in short bursts, then drifts away.</t>
  </si>
  <si>
    <t>Pays attention for most of the session.</t>
  </si>
  <si>
    <t>Focused and listening throughout for their age.</t>
  </si>
  <si>
    <t>PSY-ALL-U6U7-3</t>
  </si>
  <si>
    <t>Is the player happy to join in and try things?</t>
  </si>
  <si>
    <t>Hangs back; reluctant to get involved at all.</t>
  </si>
  <si>
    <t>Joins in only with lots of encouragement.</t>
  </si>
  <si>
    <t>Takes part, but sticks to what feels safe.</t>
  </si>
  <si>
    <t>Happily joins in and tries new things.</t>
  </si>
  <si>
    <t>Can't wait to get involved and try everything.</t>
  </si>
  <si>
    <t>PSY-ALL-U6U7-4</t>
  </si>
  <si>
    <t>Does the player keep going without being told to?</t>
  </si>
  <si>
    <t>Stops as soon as the coach looks away.</t>
  </si>
  <si>
    <t>Only tries when directly encouraged.</t>
  </si>
  <si>
    <t>Has a go, but gives up quickly.</t>
  </si>
  <si>
    <t>Keeps trying for most of the session.</t>
  </si>
  <si>
    <t>Full effort throughout without any prompting.</t>
  </si>
  <si>
    <t>PSY-ALL-U8U9-1</t>
  </si>
  <si>
    <t>Very upset or angry; it ruins the rest of their session.</t>
  </si>
  <si>
    <t>Sulks and hides from the ball for a while.</t>
  </si>
  <si>
    <t>Recovers with a bit of encouragement from others.</t>
  </si>
  <si>
    <t>Gets over it quickly and stays involved.</t>
  </si>
  <si>
    <t>Bounces back instantly and tries the same thing again.</t>
  </si>
  <si>
    <t>PSY-ALL-U8U9-2</t>
  </si>
  <si>
    <t>Does the player stay focused during the session?</t>
  </si>
  <si>
    <t>Constantly distracted; rarely listens or watches play.</t>
  </si>
  <si>
    <t>Focuses only when the ball is near them.</t>
  </si>
  <si>
    <t>Concentrates in busy moments, drifts when waiting.</t>
  </si>
  <si>
    <t>Stays focused for most of the session.</t>
  </si>
  <si>
    <t>Consistently switched on, even when not involved.</t>
  </si>
  <si>
    <t>PSY-ALL-U8U9-3</t>
  </si>
  <si>
    <t>Is the player confident to try things with the ball?</t>
  </si>
  <si>
    <t>Avoids the ball; scared to make a mistake.</t>
  </si>
  <si>
    <t>Only tries the safe, simple option.</t>
  </si>
  <si>
    <t>Tries things when there's little pressure.</t>
  </si>
  <si>
    <t>Confidently tries skills, even when it's tricky.</t>
  </si>
  <si>
    <t>Always wants the ball and takes on challenges.</t>
  </si>
  <si>
    <t>PSY-ALL-U8U9-4</t>
  </si>
  <si>
    <t>Does the player show effort without being told?</t>
  </si>
  <si>
    <t>Stops or coasts unless the coach prompts them.</t>
  </si>
  <si>
    <t>Works hard only in the fun bits.</t>
  </si>
  <si>
    <t>Tries steadily, but fades when tired.</t>
  </si>
  <si>
    <t>Works hard for most of the session alone.</t>
  </si>
  <si>
    <t>Gives full effort throughout and encourages others.</t>
  </si>
  <si>
    <t>PSY-ALL-U10U11-1</t>
  </si>
  <si>
    <t>Visibly upset or angry; the mistake affects them for minutes.</t>
  </si>
  <si>
    <t>Sulks or goes quiet briefly, hiding from the ball afterwards.</t>
  </si>
  <si>
    <t>Recovers, but only with encouragement from a coach or teammate.</t>
  </si>
  <si>
    <t>Shakes it off quickly on their own and stays involved.</t>
  </si>
  <si>
    <t>Recovers instantly, stays positive, and tries the same thing again.</t>
  </si>
  <si>
    <t>PSY-ALL-U10U11-2</t>
  </si>
  <si>
    <t>Does the player stay focused throughout the session?</t>
  </si>
  <si>
    <t>Easily distracted; loses attention within seconds of not being involved.</t>
  </si>
  <si>
    <t>Focuses only when directly on the ball; drifts off otherwise.</t>
  </si>
  <si>
    <t>Stays engaged in busy moments but switches off during waits.</t>
  </si>
  <si>
    <t>Mostly attentive throughout, needing only occasional reminders.</t>
  </si>
  <si>
    <t>Consistently switched on, tracking play even when not involved.</t>
  </si>
  <si>
    <t>PSY-ALL-U10U11-3</t>
  </si>
  <si>
    <t>Is the player willing to get on the ball and try things?</t>
  </si>
  <si>
    <t>Hides from the ball; avoids involvement, especially when losing.</t>
  </si>
  <si>
    <t>Takes the ball only in safe, pressure-free situations.</t>
  </si>
  <si>
    <t>Gets involved willingly, but avoids risk after a mistake.</t>
  </si>
  <si>
    <t>Regularly wants the ball and tries skills, even under pressure.</t>
  </si>
  <si>
    <t>Always demands the ball; keeps trying things after failures.</t>
  </si>
  <si>
    <t>PSY-ALL-U10U11-4</t>
  </si>
  <si>
    <t>How much effort does the player show without being told?</t>
  </si>
  <si>
    <t>Coasts or stops unless the coach is watching or prompting.</t>
  </si>
  <si>
    <t>Works hard in bursts, mainly during fun or winning moments.</t>
  </si>
  <si>
    <t>Puts in steady effort when reminded, but fades late on.</t>
  </si>
  <si>
    <t>Works hard for most of the session on their own.</t>
  </si>
  <si>
    <t>Sustains full effort throughout, driving themselves and others on.</t>
  </si>
  <si>
    <t>PSY-ALL-U12U13-1</t>
  </si>
  <si>
    <t>Head drops; the mistake affects their play for a long spell.</t>
  </si>
  <si>
    <t>Gets frustrated and stops taking risks afterwards.</t>
  </si>
  <si>
    <t>Recovers with encouragement, but confidence dips.</t>
  </si>
  <si>
    <t>Refocuses quickly and stays in the game.</t>
  </si>
  <si>
    <t>Uses it as motivation; responds with a positive action.</t>
  </si>
  <si>
    <t>PSY-ALL-U12U13-2</t>
  </si>
  <si>
    <t>Does the player stay concentrated for the whole game?</t>
  </si>
  <si>
    <t>Switches off often; caught out ball-watching.</t>
  </si>
  <si>
    <t>Concentrates only when directly involved.</t>
  </si>
  <si>
    <t>Focused in key moments, lapses in quiet spells.</t>
  </si>
  <si>
    <t>Stays concentrated for most of the game.</t>
  </si>
  <si>
    <t>Fully switched on throughout; anticipates the next moment.</t>
  </si>
  <si>
    <t>PSY-ALL-U12U13-3</t>
  </si>
  <si>
    <t>Does the player stay composed under pressure?</t>
  </si>
  <si>
    <t>Panics on the ball when opponents close in.</t>
  </si>
  <si>
    <t>Rushes decisions when pressured, often losing possession.</t>
  </si>
  <si>
    <t>Composed when time allows, hurried under pressure.</t>
  </si>
  <si>
    <t>Stays calm and makes sound decisions under pressure.</t>
  </si>
  <si>
    <t>Thrives under pressure; composure lifts those around them.</t>
  </si>
  <si>
    <t>PSY-ALL-U12U13-4</t>
  </si>
  <si>
    <t>Does the player drive their own effort and standards?</t>
  </si>
  <si>
    <t>Needs constant pushing to work and apply themselves.</t>
  </si>
  <si>
    <t>Works hard only when the coach is watching.</t>
  </si>
  <si>
    <t>Applies themselves, but standards slip when tired.</t>
  </si>
  <si>
    <t>Self-motivated; keeps standards high for most of the game.</t>
  </si>
  <si>
    <t>Drives their own and teammates' effort throughout.</t>
  </si>
  <si>
    <t>PSY-ALL-U14U15-1</t>
  </si>
  <si>
    <t>How does the player respond to setbacks during a game?</t>
  </si>
  <si>
    <t>Visibly rattled; one setback derails their whole performance.</t>
  </si>
  <si>
    <t>Dwells on setbacks; play drops for a long period.</t>
  </si>
  <si>
    <t>Recovers eventually, but needs time to reset.</t>
  </si>
  <si>
    <t>Responds well, staying competitive after setbacks.</t>
  </si>
  <si>
    <t>Unshaken by setbacks; often responds with their best.</t>
  </si>
  <si>
    <t>PSY-ALL-U14U15-2</t>
  </si>
  <si>
    <t>Does the player maintain concentration under fatigue and pressure?</t>
  </si>
  <si>
    <t>Loses focus badly when tired or under pressure.</t>
  </si>
  <si>
    <t>Concentration drops noticeably in the closing stages.</t>
  </si>
  <si>
    <t>Holds focus until fatigue sets in late.</t>
  </si>
  <si>
    <t>Stays concentrated even when tired or pressured.</t>
  </si>
  <si>
    <t>Sharpest in the biggest, most demanding moments.</t>
  </si>
  <si>
    <t>PSY-ALL-U14U15-3</t>
  </si>
  <si>
    <t>Does the player show composure in important moments?</t>
  </si>
  <si>
    <t>Freezes or rushes when the moment matters.</t>
  </si>
  <si>
    <t>Nervy in key moments; decisions suffer.</t>
  </si>
  <si>
    <t>Handles most moments, wobbles in the biggest.</t>
  </si>
  <si>
    <t>Composed and reliable when it matters most.</t>
  </si>
  <si>
    <t>Wants the big moments; delivers under real pressure.</t>
  </si>
  <si>
    <t>PSY-ALL-U14U15-4</t>
  </si>
  <si>
    <t>Does the player take responsibility and set their own standards?</t>
  </si>
  <si>
    <t>Avoids responsibility; blames others when things go wrong.</t>
  </si>
  <si>
    <t>Does the minimum unless pushed by the coach.</t>
  </si>
  <si>
    <t>Takes responsibility in patches, inconsistent under pressure.</t>
  </si>
  <si>
    <t>Holds themselves accountable and sets high standards.</t>
  </si>
  <si>
    <t>Leads by example; lifts the standards of others.</t>
  </si>
  <si>
    <t>PSY-ALL-U16U17-1</t>
  </si>
  <si>
    <t>How does the player respond to adversity in a match?</t>
  </si>
  <si>
    <t>Crumbles under adversity; performance collapses when things go against them.</t>
  </si>
  <si>
    <t>Struggles to reset; adversity visibly affects their game.</t>
  </si>
  <si>
    <t>Recovers, but the response is inconsistent.</t>
  </si>
  <si>
    <t>Meets adversity head-on and keeps performing.</t>
  </si>
  <si>
    <t>Resilient under any adversity; raises their level when tested.</t>
  </si>
  <si>
    <t>PSY-ALL-U16U17-2</t>
  </si>
  <si>
    <t>Does the player sustain focus and decision-making for the whole game?</t>
  </si>
  <si>
    <t>Concentration and decisions fall away as the game wears on.</t>
  </si>
  <si>
    <t>Mental sharpness drops noticeably in the second half.</t>
  </si>
  <si>
    <t>Holds focus well until the final stages.</t>
  </si>
  <si>
    <t>Maintains sharp focus and decisions throughout.</t>
  </si>
  <si>
    <t>Mentally relentless; as sharp at the end as the start.</t>
  </si>
  <si>
    <t>PSY-ALL-U16U17-3</t>
  </si>
  <si>
    <t>Does the player perform under real pressure?</t>
  </si>
  <si>
    <t>Pressure clearly undermines their performance.</t>
  </si>
  <si>
    <t>Performs in comfort, shrinks when pressure rises.</t>
  </si>
  <si>
    <t>Copes with pressure in most situations.</t>
  </si>
  <si>
    <t>Performs reliably under significant pressure.</t>
  </si>
  <si>
    <t>Elevates their game when the pressure is highest.</t>
  </si>
  <si>
    <t>PSY-ALL-U16U17-4</t>
  </si>
  <si>
    <t>Does the player show leadership and ownership on the pitch?</t>
  </si>
  <si>
    <t>Offers no leadership; withdraws when things get hard.</t>
  </si>
  <si>
    <t>Leads only when the team is on top.</t>
  </si>
  <si>
    <t>Shows leadership in flashes, not consistently.</t>
  </si>
  <si>
    <t>Leads consistently and takes ownership of performance.</t>
  </si>
  <si>
    <t>Drives the team; standards and mentality lift around them.</t>
  </si>
  <si>
    <t>SOC-ALL-U6U7-1</t>
  </si>
  <si>
    <t>Social</t>
  </si>
  <si>
    <t>Does the player share the ball and let others have a go?</t>
  </si>
  <si>
    <t>Keeps the ball to themselves; won't pass or share.</t>
  </si>
  <si>
    <t>Shares only when told to by the coach.</t>
  </si>
  <si>
    <t>Shares sometimes, but often wants the ball back.</t>
  </si>
  <si>
    <t>Happily shares and lets teammates have a turn.</t>
  </si>
  <si>
    <t>Loves setting others up; always includes teammates.</t>
  </si>
  <si>
    <t>SOC-ALL-U6U7-2</t>
  </si>
  <si>
    <t>Is the player kind and encouraging to teammates?</t>
  </si>
  <si>
    <t>Unkind or sulky towards teammates when things go wrong.</t>
  </si>
  <si>
    <t>Plays alongside others but rarely interacts kindly.</t>
  </si>
  <si>
    <t>Friendly when reminded, but mostly focused on themselves.</t>
  </si>
  <si>
    <t>Kind to teammates and cheers them on.</t>
  </si>
  <si>
    <t>Always encouraging; makes teammates feel good.</t>
  </si>
  <si>
    <t>SOC-ALL-U6U7-3</t>
  </si>
  <si>
    <t>Does the player listen to the coach and follow instructions?</t>
  </si>
  <si>
    <t>Doesn't listen; carries on doing their own thing.</t>
  </si>
  <si>
    <t>Listens briefly, then forgets the instruction.</t>
  </si>
  <si>
    <t>Listens when spoken to directly.</t>
  </si>
  <si>
    <t>Listens to the coach and tries to follow.</t>
  </si>
  <si>
    <t>Listens carefully and does what's asked straight away.</t>
  </si>
  <si>
    <t>SOC-ALL-U6U7-4</t>
  </si>
  <si>
    <t>Does the player play nicely and follow the rules?</t>
  </si>
  <si>
    <t>Argues, pushes, or ignores the rules.</t>
  </si>
  <si>
    <t>Follows rules only when watched closely.</t>
  </si>
  <si>
    <t>Mostly plays fairly, occasional lapses.</t>
  </si>
  <si>
    <t>Plays fairly and follows the rules.</t>
  </si>
  <si>
    <t>Always fair; a good example to others.</t>
  </si>
  <si>
    <t>SOC-ALL-U8U9-1</t>
  </si>
  <si>
    <t>Does the player talk to and help teammates during play?</t>
  </si>
  <si>
    <t>Silent; plays as if alone on the pitch.</t>
  </si>
  <si>
    <t>Talks only to complain or blame teammates.</t>
  </si>
  <si>
    <t>Occasionally calls for the ball, little else.</t>
  </si>
  <si>
    <t>Talks to help teammates during the game.</t>
  </si>
  <si>
    <t>Constant positive talk; helps teammates with information.</t>
  </si>
  <si>
    <t>SOC-ALL-U8U9-2</t>
  </si>
  <si>
    <t>Does the player encourage teammates, especially after a mistake?</t>
  </si>
  <si>
    <t>Criticises or blames teammates when they make a mistake.</t>
  </si>
  <si>
    <t>Stays quiet when a teammate makes a mistake.</t>
  </si>
  <si>
    <t>Encourages sometimes, but not consistently.</t>
  </si>
  <si>
    <t>Encourages teammates, especially after a mistake.</t>
  </si>
  <si>
    <t>Always lifts teammates; first to support after errors.</t>
  </si>
  <si>
    <t>SOC-ALL-U8U9-3</t>
  </si>
  <si>
    <t>Does the player respect the coach, referee, and opponents?</t>
  </si>
  <si>
    <t>Argues with officials or disrespects opponents.</t>
  </si>
  <si>
    <t>Shows respect only when reminded.</t>
  </si>
  <si>
    <t>Respectful most of the time, occasional lapses.</t>
  </si>
  <si>
    <t>Respects officials, opponents, and the coach.</t>
  </si>
  <si>
    <t>Model behaviour; respectful even when decisions go against them.</t>
  </si>
  <si>
    <t>SOC-ALL-U8U9-4</t>
  </si>
  <si>
    <t>Does the player put the team first?</t>
  </si>
  <si>
    <t>Only interested in their own game.</t>
  </si>
  <si>
    <t>Shares reluctantly; prefers to keep the ball.</t>
  </si>
  <si>
    <t>Works for the team when it suits them.</t>
  </si>
  <si>
    <t>Puts the team first in most situations.</t>
  </si>
  <si>
    <t>Always team-first; celebrates others' success as their own.</t>
  </si>
  <si>
    <t>SOC-ALL-U10U11-1</t>
  </si>
  <si>
    <t>Does the player communicate with teammates during the game?</t>
  </si>
  <si>
    <t>Rarely speaks; gives teammates no information.</t>
  </si>
  <si>
    <t>Talks only when frustrated or to complain.</t>
  </si>
  <si>
    <t>Communicates in obvious moments, quiet otherwise.</t>
  </si>
  <si>
    <t>Talks regularly to help and organise teammates.</t>
  </si>
  <si>
    <t>Constant, useful communication; teammates rely on it.</t>
  </si>
  <si>
    <t>SOC-ALL-U10U11-2</t>
  </si>
  <si>
    <t>Does the player support teammates who are struggling?</t>
  </si>
  <si>
    <t>Turns on teammates who make mistakes.</t>
  </si>
  <si>
    <t>Ignores struggling teammates, focuses on self.</t>
  </si>
  <si>
    <t>Offers support when it's easy to.</t>
  </si>
  <si>
    <t>Supports and encourages struggling teammates.</t>
  </si>
  <si>
    <t>Rallies the team; nobody is left isolated.</t>
  </si>
  <si>
    <t>SOC-ALL-U10U11-3</t>
  </si>
  <si>
    <t>Does the player show respect and fair play when competing?</t>
  </si>
  <si>
    <t>Argues with the referee and reacts badly to decisions.</t>
  </si>
  <si>
    <t>Struggles to accept decisions that go against them.</t>
  </si>
  <si>
    <t>Usually fair, but competitiveness sometimes spills over.</t>
  </si>
  <si>
    <t>Competes hard while respecting officials and opponents.</t>
  </si>
  <si>
    <t>Fierce competitor who always stays respectful and fair.</t>
  </si>
  <si>
    <t>SOC-ALL-U10U11-4</t>
  </si>
  <si>
    <t>Does the player accept their role and work for the team?</t>
  </si>
  <si>
    <t>Refuses roles they don't like; plays selfishly.</t>
  </si>
  <si>
    <t>Does their own thing rather than the team's plan.</t>
  </si>
  <si>
    <t>Accepts a role, but drifts from it.</t>
  </si>
  <si>
    <t>Accepts their role and works for the team.</t>
  </si>
  <si>
    <t>Embraces any role to help the team win.</t>
  </si>
  <si>
    <t>SOC-ALL-U12U13-1</t>
  </si>
  <si>
    <t>Does the player organise and inform teammates during play?</t>
  </si>
  <si>
    <t>Provides no information; teammates play blind around them.</t>
  </si>
  <si>
    <t>Talks occasionally, but rarely anything useful.</t>
  </si>
  <si>
    <t>Gives information in key moments only.</t>
  </si>
  <si>
    <t>Regularly organises and informs those around them.</t>
  </si>
  <si>
    <t>Directs teammates constantly; a real voice on the pitch.</t>
  </si>
  <si>
    <t>SOC-ALL-U12U13-2</t>
  </si>
  <si>
    <t>Does the player support the team's morale and spirit?</t>
  </si>
  <si>
    <t>Drags morale down; sulks or blames others.</t>
  </si>
  <si>
    <t>Neutral presence; adds little to team spirit.</t>
  </si>
  <si>
    <t>Lifts the group when things are going well.</t>
  </si>
  <si>
    <t>Keeps morale up, even in tough moments.</t>
  </si>
  <si>
    <t>Sets the tone; a positive force for the team.</t>
  </si>
  <si>
    <t>SOC-ALL-U12U13-3</t>
  </si>
  <si>
    <t>Does the player stay disciplined and respectful under pressure?</t>
  </si>
  <si>
    <t>Loses discipline; argues, reacts, or retaliates.</t>
  </si>
  <si>
    <t>Discipline slips when frustrated or losing.</t>
  </si>
  <si>
    <t>Mostly disciplined, occasional lapses under pressure.</t>
  </si>
  <si>
    <t>Stays disciplined and respectful under pressure.</t>
  </si>
  <si>
    <t>Exemplary discipline; calms teammates in heated moments.</t>
  </si>
  <si>
    <t>SOC-ALL-U12U13-4</t>
  </si>
  <si>
    <t>Does the player put team success above personal glory?</t>
  </si>
  <si>
    <t>Chases personal glory at the team's expense.</t>
  </si>
  <si>
    <t>Prioritises own game over the team's needs.</t>
  </si>
  <si>
    <t>Balances self and team inconsistently.</t>
  </si>
  <si>
    <t>Puts team success ahead of personal glory.</t>
  </si>
  <si>
    <t>Selfless; consistently sacrifices for the team.</t>
  </si>
  <si>
    <t>SOC-ALL-U14U15-1</t>
  </si>
  <si>
    <t>Does the player lead and communicate to influence teammates?</t>
  </si>
  <si>
    <t>Offers no leadership; silent and disengaged from teammates.</t>
  </si>
  <si>
    <t>Talks, but it rarely influences those around them.</t>
  </si>
  <si>
    <t>Leads in flashes, mainly when things go well.</t>
  </si>
  <si>
    <t>Communicates well and positively influences teammates.</t>
  </si>
  <si>
    <t>A genuine leader; teammates respond to their voice.</t>
  </si>
  <si>
    <t>SOC-ALL-U14U15-2</t>
  </si>
  <si>
    <t>Does the player support teammates and the group culture?</t>
  </si>
  <si>
    <t>Undermines the group; cliquey or divisive.</t>
  </si>
  <si>
    <t>Keeps to themselves; adds little to culture.</t>
  </si>
  <si>
    <t>Supports teammates they are close to only.</t>
  </si>
  <si>
    <t>Supports the whole group and its culture.</t>
  </si>
  <si>
    <t>Central to team culture; unites the group.</t>
  </si>
  <si>
    <t>SOC-ALL-U14U15-3</t>
  </si>
  <si>
    <t>Does the player manage their behaviour with officials and opponents?</t>
  </si>
  <si>
    <t>Regularly disrespects officials or opponents.</t>
  </si>
  <si>
    <t>Reacts poorly when decisions go against them.</t>
  </si>
  <si>
    <t>Generally controlled, slips under real provocation.</t>
  </si>
  <si>
    <t>Manages behaviour well with officials and opponents.</t>
  </si>
  <si>
    <t>Composed and respectful even under heavy provocation.</t>
  </si>
  <si>
    <t>SOC-ALL-U14U15-4</t>
  </si>
  <si>
    <t>Does the player accept accountability within the team?</t>
  </si>
  <si>
    <t>Blames teammates; never accepts their own part.</t>
  </si>
  <si>
    <t>Reluctant to own mistakes in front of others.</t>
  </si>
  <si>
    <t>Accepts accountability when it's pointed out.</t>
  </si>
  <si>
    <t>Readily owns mistakes and stays accountable.</t>
  </si>
  <si>
    <t>Holds self and others accountable for standards.</t>
  </si>
  <si>
    <t>SOC-ALL-U16U17-1</t>
  </si>
  <si>
    <t>Does the player lead and set standards for the team?</t>
  </si>
  <si>
    <t>Provides no leadership; sets a poor example.</t>
  </si>
  <si>
    <t>Leads only occasionally and inconsistently.</t>
  </si>
  <si>
    <t>Leads in key moments but not day to day.</t>
  </si>
  <si>
    <t>Leads consistently and sets clear standards.</t>
  </si>
  <si>
    <t>Defines the team's standards; others follow their example.</t>
  </si>
  <si>
    <t>SOC-ALL-U16U17-2</t>
  </si>
  <si>
    <t>Does the player strengthen team unity and support others?</t>
  </si>
  <si>
    <t>Divisive; damages relationships within the group.</t>
  </si>
  <si>
    <t>Detached; contributes little to team unity.</t>
  </si>
  <si>
    <t>Supports the group when convenient.</t>
  </si>
  <si>
    <t>Actively strengthens unity and supports teammates.</t>
  </si>
  <si>
    <t>The glue of the team; brings everyone together.</t>
  </si>
  <si>
    <t>SOC-ALL-U16U17-3</t>
  </si>
  <si>
    <t>Does the player show maturity with officials and opponents?</t>
  </si>
  <si>
    <t>Immature; confronts officials and opponents readily.</t>
  </si>
  <si>
    <t>Loses composure when provoked or aggrieved.</t>
  </si>
  <si>
    <t>Usually mature, occasional lapses under pressure.</t>
  </si>
  <si>
    <t>Consistently mature and respectful in conduct.</t>
  </si>
  <si>
    <t>Exemplary conduct; represents the team impeccably.</t>
  </si>
  <si>
    <t>SOC-ALL-U16U17-4</t>
  </si>
  <si>
    <t>Does the player consistently put the team above themselves?</t>
  </si>
  <si>
    <t>Self-interested; team comes a distant second.</t>
  </si>
  <si>
    <t>Serves the team only when it suits them.</t>
  </si>
  <si>
    <t>Mostly team-first, occasionally self-serving.</t>
  </si>
  <si>
    <t>Consistently puts the team above themselves.</t>
  </si>
  <si>
    <t>Utterly selfless; the team always comes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</si>
</sst>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A2B4A"/>
      <name val="Arial"/>
      <charset val="1"/>
    </font>
    <font>
      <sz val="11"/>
      <color rgb="FF222222"/>
      <name val="Arial"/>
      <charset val="1"/>
    </font>
    <font>
      <b/>
      <sz val="12"/>
      <color rgb="FF1A2B4A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9"/>
      <color rgb="FF99999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A2B4A"/>
        <bgColor rgb="FF222222"/>
      </patternFill>
    </fill>
    <fill>
      <patternFill patternType="solid">
        <fgColor rgb="FFFFF6D5"/>
        <bgColor rgb="FFFFFFFF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0" borderId="0" xfId="0" applyFont="1"/>
    <xf numFmtId="0" fontId="0" fillId="3" borderId="0" xfId="0" applyFill="1"/>
    <xf numFmtId="0" fontId="6" fillId="0" borderId="0" xfId="0" applyFont="1"/>
  </cellXfs>
  <cellStyles count="1">
    <cellStyle name="Normal" xfId="0" builtinId="0"/>
  </cellStyles>
  <dxfs count="2"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222222"/>
      <rgbColor rgb="FF993300"/>
      <rgbColor rgb="FF993366"/>
      <rgbColor rgb="FF333399"/>
      <rgbColor rgb="FF1A2B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zoomScaleNormal="100" workbookViewId="0"/>
  </sheetViews>
  <sheetFormatPr defaultColWidth="8.6640625" defaultRowHeight="14.4" x14ac:dyDescent="0.3"/>
  <cols>
    <col min="1" max="1" width="112" customWidth="1"/>
  </cols>
  <sheetData>
    <row r="1" spans="1:1" ht="21" x14ac:dyDescent="0.4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/>
    </row>
    <row r="5" spans="1:1" x14ac:dyDescent="0.3">
      <c r="A5" s="2" t="s">
        <v>2</v>
      </c>
    </row>
    <row r="6" spans="1:1" x14ac:dyDescent="0.3">
      <c r="A6" s="2"/>
    </row>
    <row r="7" spans="1:1" ht="15.6" x14ac:dyDescent="0.3">
      <c r="A7" s="3" t="s">
        <v>3</v>
      </c>
    </row>
    <row r="8" spans="1:1" x14ac:dyDescent="0.3">
      <c r="A8" s="2" t="s">
        <v>4</v>
      </c>
    </row>
    <row r="9" spans="1:1" x14ac:dyDescent="0.3">
      <c r="A9" s="2" t="s">
        <v>5</v>
      </c>
    </row>
    <row r="10" spans="1:1" x14ac:dyDescent="0.3">
      <c r="A10" s="2" t="s">
        <v>6</v>
      </c>
    </row>
    <row r="11" spans="1:1" x14ac:dyDescent="0.3">
      <c r="A11" s="2" t="s">
        <v>7</v>
      </c>
    </row>
    <row r="12" spans="1:1" x14ac:dyDescent="0.3">
      <c r="A12" s="2"/>
    </row>
    <row r="13" spans="1:1" ht="15.6" x14ac:dyDescent="0.3">
      <c r="A13" s="3" t="s">
        <v>8</v>
      </c>
    </row>
    <row r="14" spans="1:1" x14ac:dyDescent="0.3">
      <c r="A14" s="2" t="s">
        <v>9</v>
      </c>
    </row>
    <row r="15" spans="1:1" x14ac:dyDescent="0.3">
      <c r="A15" s="2" t="s">
        <v>10</v>
      </c>
    </row>
    <row r="16" spans="1:1" x14ac:dyDescent="0.3">
      <c r="A16" s="2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7"/>
  <sheetViews>
    <sheetView tabSelected="1" zoomScaleNormal="100" workbookViewId="0">
      <pane xSplit="5" ySplit="1" topLeftCell="F118" activePane="bottomRight" state="frozen"/>
      <selection pane="topRight" activeCell="F1" sqref="F1"/>
      <selection pane="bottomLeft" activeCell="A2" sqref="A2"/>
      <selection pane="bottomRight" activeCell="J126" sqref="J126"/>
    </sheetView>
  </sheetViews>
  <sheetFormatPr defaultColWidth="8.6640625" defaultRowHeight="14.4" x14ac:dyDescent="0.3"/>
  <cols>
    <col min="1" max="1" width="16" customWidth="1"/>
    <col min="2" max="2" width="10" customWidth="1"/>
    <col min="3" max="3" width="12" customWidth="1"/>
    <col min="4" max="4" width="11" customWidth="1"/>
    <col min="5" max="5" width="5" customWidth="1"/>
    <col min="6" max="6" width="40" customWidth="1"/>
    <col min="7" max="11" width="30" customWidth="1"/>
    <col min="12" max="12" width="7" customWidth="1"/>
    <col min="13" max="14" width="13" customWidth="1"/>
    <col min="15" max="15" width="26" customWidth="1"/>
    <col min="16" max="20" width="6" hidden="1" customWidth="1"/>
  </cols>
  <sheetData>
    <row r="1" spans="1:20" ht="26.4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</row>
    <row r="2" spans="1:20" ht="26.4" x14ac:dyDescent="0.3">
      <c r="A2" s="5" t="s">
        <v>32</v>
      </c>
      <c r="B2" s="5" t="s">
        <v>33</v>
      </c>
      <c r="C2" s="5" t="s">
        <v>34</v>
      </c>
      <c r="D2" s="5" t="s">
        <v>35</v>
      </c>
      <c r="E2" s="5">
        <v>1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 t="s">
        <v>41</v>
      </c>
      <c r="L2" s="5">
        <v>10</v>
      </c>
      <c r="M2" s="6">
        <f t="shared" ref="M2:M65" si="0">MAX(P2:T2)</f>
        <v>7</v>
      </c>
      <c r="N2" s="6" t="str">
        <f t="shared" ref="N2:N65" si="1">IF(M2&lt;=L2,"yes","OVER")</f>
        <v>yes</v>
      </c>
      <c r="O2" s="7"/>
      <c r="P2" s="8">
        <f t="shared" ref="P2:P65" si="2">IF(TRIM(G2)="",0,LEN(TRIM(G2))-LEN(SUBSTITUTE(TRIM(G2)," ",""))+1)</f>
        <v>6</v>
      </c>
      <c r="Q2" s="8">
        <f t="shared" ref="Q2:Q65" si="3">IF(TRIM(H2)="",0,LEN(TRIM(H2))-LEN(SUBSTITUTE(TRIM(H2)," ",""))+1)</f>
        <v>6</v>
      </c>
      <c r="R2" s="8">
        <f t="shared" ref="R2:R65" si="4">IF(TRIM(I2)="",0,LEN(TRIM(I2))-LEN(SUBSTITUTE(TRIM(I2)," ",""))+1)</f>
        <v>7</v>
      </c>
      <c r="S2" s="8">
        <f t="shared" ref="S2:S65" si="5">IF(TRIM(J2)="",0,LEN(TRIM(J2))-LEN(SUBSTITUTE(TRIM(J2)," ",""))+1)</f>
        <v>6</v>
      </c>
      <c r="T2" s="8">
        <f t="shared" ref="T2:T65" si="6">IF(TRIM(K2)="",0,LEN(TRIM(K2))-LEN(SUBSTITUTE(TRIM(K2)," ",""))+1)</f>
        <v>7</v>
      </c>
    </row>
    <row r="3" spans="1:20" ht="26.4" x14ac:dyDescent="0.3">
      <c r="A3" s="5" t="s">
        <v>42</v>
      </c>
      <c r="B3" s="5" t="s">
        <v>33</v>
      </c>
      <c r="C3" s="5" t="s">
        <v>34</v>
      </c>
      <c r="D3" s="5" t="s">
        <v>35</v>
      </c>
      <c r="E3" s="5">
        <v>2</v>
      </c>
      <c r="F3" s="5" t="s">
        <v>43</v>
      </c>
      <c r="G3" s="5" t="s">
        <v>44</v>
      </c>
      <c r="H3" s="5" t="s">
        <v>45</v>
      </c>
      <c r="I3" s="5" t="s">
        <v>46</v>
      </c>
      <c r="J3" s="5" t="s">
        <v>47</v>
      </c>
      <c r="K3" s="5" t="s">
        <v>48</v>
      </c>
      <c r="L3" s="5">
        <v>10</v>
      </c>
      <c r="M3" s="6">
        <f t="shared" si="0"/>
        <v>7</v>
      </c>
      <c r="N3" s="6" t="str">
        <f t="shared" si="1"/>
        <v>yes</v>
      </c>
      <c r="O3" s="7"/>
      <c r="P3" s="8">
        <f t="shared" si="2"/>
        <v>6</v>
      </c>
      <c r="Q3" s="8">
        <f t="shared" si="3"/>
        <v>6</v>
      </c>
      <c r="R3" s="8">
        <f t="shared" si="4"/>
        <v>5</v>
      </c>
      <c r="S3" s="8">
        <f t="shared" si="5"/>
        <v>6</v>
      </c>
      <c r="T3" s="8">
        <f t="shared" si="6"/>
        <v>7</v>
      </c>
    </row>
    <row r="4" spans="1:20" ht="26.4" x14ac:dyDescent="0.3">
      <c r="A4" s="5" t="s">
        <v>49</v>
      </c>
      <c r="B4" s="5" t="s">
        <v>33</v>
      </c>
      <c r="C4" s="5" t="s">
        <v>34</v>
      </c>
      <c r="D4" s="5" t="s">
        <v>35</v>
      </c>
      <c r="E4" s="5">
        <v>3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55</v>
      </c>
      <c r="L4" s="5">
        <v>10</v>
      </c>
      <c r="M4" s="6">
        <f t="shared" si="0"/>
        <v>8</v>
      </c>
      <c r="N4" s="6" t="str">
        <f t="shared" si="1"/>
        <v>yes</v>
      </c>
      <c r="O4" s="7"/>
      <c r="P4" s="8">
        <f t="shared" si="2"/>
        <v>8</v>
      </c>
      <c r="Q4" s="8">
        <f t="shared" si="3"/>
        <v>7</v>
      </c>
      <c r="R4" s="8">
        <f t="shared" si="4"/>
        <v>7</v>
      </c>
      <c r="S4" s="8">
        <f t="shared" si="5"/>
        <v>6</v>
      </c>
      <c r="T4" s="8">
        <f t="shared" si="6"/>
        <v>6</v>
      </c>
    </row>
    <row r="5" spans="1:20" ht="26.4" x14ac:dyDescent="0.3">
      <c r="A5" s="5" t="s">
        <v>56</v>
      </c>
      <c r="B5" s="5" t="s">
        <v>33</v>
      </c>
      <c r="C5" s="5" t="s">
        <v>34</v>
      </c>
      <c r="D5" s="5" t="s">
        <v>35</v>
      </c>
      <c r="E5" s="5">
        <v>4</v>
      </c>
      <c r="F5" s="5" t="s">
        <v>57</v>
      </c>
      <c r="G5" s="5" t="s">
        <v>58</v>
      </c>
      <c r="H5" s="5" t="s">
        <v>59</v>
      </c>
      <c r="I5" s="5" t="s">
        <v>60</v>
      </c>
      <c r="J5" s="5" t="s">
        <v>61</v>
      </c>
      <c r="K5" s="5" t="s">
        <v>62</v>
      </c>
      <c r="L5" s="5">
        <v>10</v>
      </c>
      <c r="M5" s="6">
        <f t="shared" si="0"/>
        <v>7</v>
      </c>
      <c r="N5" s="6" t="str">
        <f t="shared" si="1"/>
        <v>yes</v>
      </c>
      <c r="O5" s="7"/>
      <c r="P5" s="8">
        <f t="shared" si="2"/>
        <v>7</v>
      </c>
      <c r="Q5" s="8">
        <f t="shared" si="3"/>
        <v>6</v>
      </c>
      <c r="R5" s="8">
        <f t="shared" si="4"/>
        <v>6</v>
      </c>
      <c r="S5" s="8">
        <f t="shared" si="5"/>
        <v>6</v>
      </c>
      <c r="T5" s="8">
        <f t="shared" si="6"/>
        <v>7</v>
      </c>
    </row>
    <row r="6" spans="1:20" ht="26.4" x14ac:dyDescent="0.3">
      <c r="A6" s="5" t="s">
        <v>63</v>
      </c>
      <c r="B6" s="5" t="s">
        <v>64</v>
      </c>
      <c r="C6" s="5" t="s">
        <v>34</v>
      </c>
      <c r="D6" s="5" t="s">
        <v>35</v>
      </c>
      <c r="E6" s="5">
        <v>1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>
        <v>10</v>
      </c>
      <c r="M6" s="6">
        <f t="shared" si="0"/>
        <v>8</v>
      </c>
      <c r="N6" s="6" t="str">
        <f t="shared" si="1"/>
        <v>yes</v>
      </c>
      <c r="O6" s="7"/>
      <c r="P6" s="8">
        <f t="shared" si="2"/>
        <v>6</v>
      </c>
      <c r="Q6" s="8">
        <f t="shared" si="3"/>
        <v>5</v>
      </c>
      <c r="R6" s="8">
        <f t="shared" si="4"/>
        <v>5</v>
      </c>
      <c r="S6" s="8">
        <f t="shared" si="5"/>
        <v>8</v>
      </c>
      <c r="T6" s="8">
        <f t="shared" si="6"/>
        <v>7</v>
      </c>
    </row>
    <row r="7" spans="1:20" ht="26.4" x14ac:dyDescent="0.3">
      <c r="A7" s="5" t="s">
        <v>71</v>
      </c>
      <c r="B7" s="5" t="s">
        <v>64</v>
      </c>
      <c r="C7" s="5" t="s">
        <v>34</v>
      </c>
      <c r="D7" s="5" t="s">
        <v>35</v>
      </c>
      <c r="E7" s="5">
        <v>2</v>
      </c>
      <c r="F7" s="5" t="s">
        <v>72</v>
      </c>
      <c r="G7" s="5" t="s">
        <v>73</v>
      </c>
      <c r="H7" s="5" t="s">
        <v>74</v>
      </c>
      <c r="I7" s="5" t="s">
        <v>75</v>
      </c>
      <c r="J7" s="5" t="s">
        <v>76</v>
      </c>
      <c r="K7" s="5" t="s">
        <v>77</v>
      </c>
      <c r="L7" s="5">
        <v>10</v>
      </c>
      <c r="M7" s="6">
        <f t="shared" si="0"/>
        <v>6</v>
      </c>
      <c r="N7" s="6" t="str">
        <f t="shared" si="1"/>
        <v>yes</v>
      </c>
      <c r="O7" s="7"/>
      <c r="P7" s="8">
        <f t="shared" si="2"/>
        <v>6</v>
      </c>
      <c r="Q7" s="8">
        <f t="shared" si="3"/>
        <v>4</v>
      </c>
      <c r="R7" s="8">
        <f t="shared" si="4"/>
        <v>5</v>
      </c>
      <c r="S7" s="8">
        <f t="shared" si="5"/>
        <v>6</v>
      </c>
      <c r="T7" s="8">
        <f t="shared" si="6"/>
        <v>6</v>
      </c>
    </row>
    <row r="8" spans="1:20" ht="26.4" x14ac:dyDescent="0.3">
      <c r="A8" s="5" t="s">
        <v>78</v>
      </c>
      <c r="B8" s="5" t="s">
        <v>64</v>
      </c>
      <c r="C8" s="5" t="s">
        <v>34</v>
      </c>
      <c r="D8" s="5" t="s">
        <v>35</v>
      </c>
      <c r="E8" s="5">
        <v>3</v>
      </c>
      <c r="F8" s="5" t="s">
        <v>79</v>
      </c>
      <c r="G8" s="5" t="s">
        <v>80</v>
      </c>
      <c r="H8" s="5" t="s">
        <v>81</v>
      </c>
      <c r="I8" s="5" t="s">
        <v>82</v>
      </c>
      <c r="J8" s="5" t="s">
        <v>83</v>
      </c>
      <c r="K8" s="5" t="s">
        <v>84</v>
      </c>
      <c r="L8" s="5">
        <v>10</v>
      </c>
      <c r="M8" s="6">
        <f t="shared" si="0"/>
        <v>7</v>
      </c>
      <c r="N8" s="6" t="str">
        <f t="shared" si="1"/>
        <v>yes</v>
      </c>
      <c r="O8" s="7"/>
      <c r="P8" s="8">
        <f t="shared" si="2"/>
        <v>7</v>
      </c>
      <c r="Q8" s="8">
        <f t="shared" si="3"/>
        <v>7</v>
      </c>
      <c r="R8" s="8">
        <f t="shared" si="4"/>
        <v>6</v>
      </c>
      <c r="S8" s="8">
        <f t="shared" si="5"/>
        <v>7</v>
      </c>
      <c r="T8" s="8">
        <f t="shared" si="6"/>
        <v>5</v>
      </c>
    </row>
    <row r="9" spans="1:20" ht="26.4" x14ac:dyDescent="0.3">
      <c r="A9" s="5" t="s">
        <v>85</v>
      </c>
      <c r="B9" s="5" t="s">
        <v>64</v>
      </c>
      <c r="C9" s="5" t="s">
        <v>34</v>
      </c>
      <c r="D9" s="5" t="s">
        <v>35</v>
      </c>
      <c r="E9" s="5">
        <v>4</v>
      </c>
      <c r="F9" s="5" t="s">
        <v>86</v>
      </c>
      <c r="G9" s="5" t="s">
        <v>87</v>
      </c>
      <c r="H9" s="5" t="s">
        <v>88</v>
      </c>
      <c r="I9" s="5" t="s">
        <v>89</v>
      </c>
      <c r="J9" s="5" t="s">
        <v>90</v>
      </c>
      <c r="K9" s="5" t="s">
        <v>91</v>
      </c>
      <c r="L9" s="5">
        <v>10</v>
      </c>
      <c r="M9" s="6">
        <f t="shared" si="0"/>
        <v>7</v>
      </c>
      <c r="N9" s="6" t="str">
        <f t="shared" si="1"/>
        <v>yes</v>
      </c>
      <c r="O9" s="7"/>
      <c r="P9" s="8">
        <f t="shared" si="2"/>
        <v>5</v>
      </c>
      <c r="Q9" s="8">
        <f t="shared" si="3"/>
        <v>5</v>
      </c>
      <c r="R9" s="8">
        <f t="shared" si="4"/>
        <v>5</v>
      </c>
      <c r="S9" s="8">
        <f t="shared" si="5"/>
        <v>6</v>
      </c>
      <c r="T9" s="8">
        <f t="shared" si="6"/>
        <v>7</v>
      </c>
    </row>
    <row r="10" spans="1:20" ht="26.4" x14ac:dyDescent="0.3">
      <c r="A10" s="5" t="s">
        <v>92</v>
      </c>
      <c r="B10" s="5" t="s">
        <v>93</v>
      </c>
      <c r="C10" s="5" t="s">
        <v>34</v>
      </c>
      <c r="D10" s="5" t="s">
        <v>94</v>
      </c>
      <c r="E10" s="5">
        <v>1</v>
      </c>
      <c r="F10" s="5" t="s">
        <v>95</v>
      </c>
      <c r="G10" s="5" t="s">
        <v>96</v>
      </c>
      <c r="H10" s="5" t="s">
        <v>97</v>
      </c>
      <c r="I10" s="5" t="s">
        <v>98</v>
      </c>
      <c r="J10" s="5" t="s">
        <v>99</v>
      </c>
      <c r="K10" s="5" t="s">
        <v>100</v>
      </c>
      <c r="L10" s="5">
        <v>10</v>
      </c>
      <c r="M10" s="6">
        <f t="shared" si="0"/>
        <v>8</v>
      </c>
      <c r="N10" s="6" t="str">
        <f t="shared" si="1"/>
        <v>yes</v>
      </c>
      <c r="O10" s="7"/>
      <c r="P10" s="8">
        <f t="shared" si="2"/>
        <v>6</v>
      </c>
      <c r="Q10" s="8">
        <f t="shared" si="3"/>
        <v>6</v>
      </c>
      <c r="R10" s="8">
        <f t="shared" si="4"/>
        <v>4</v>
      </c>
      <c r="S10" s="8">
        <f t="shared" si="5"/>
        <v>6</v>
      </c>
      <c r="T10" s="8">
        <f t="shared" si="6"/>
        <v>8</v>
      </c>
    </row>
    <row r="11" spans="1:20" ht="26.4" x14ac:dyDescent="0.3">
      <c r="A11" s="5" t="s">
        <v>101</v>
      </c>
      <c r="B11" s="5" t="s">
        <v>93</v>
      </c>
      <c r="C11" s="5" t="s">
        <v>34</v>
      </c>
      <c r="D11" s="5" t="s">
        <v>94</v>
      </c>
      <c r="E11" s="5">
        <v>2</v>
      </c>
      <c r="F11" s="5" t="s">
        <v>102</v>
      </c>
      <c r="G11" s="5" t="s">
        <v>103</v>
      </c>
      <c r="H11" s="5" t="s">
        <v>104</v>
      </c>
      <c r="I11" s="5" t="s">
        <v>105</v>
      </c>
      <c r="J11" s="5" t="s">
        <v>106</v>
      </c>
      <c r="K11" s="5" t="s">
        <v>107</v>
      </c>
      <c r="L11" s="5">
        <v>10</v>
      </c>
      <c r="M11" s="6">
        <f t="shared" si="0"/>
        <v>7</v>
      </c>
      <c r="N11" s="6" t="str">
        <f t="shared" si="1"/>
        <v>yes</v>
      </c>
      <c r="O11" s="7"/>
      <c r="P11" s="8">
        <f t="shared" si="2"/>
        <v>6</v>
      </c>
      <c r="Q11" s="8">
        <f t="shared" si="3"/>
        <v>6</v>
      </c>
      <c r="R11" s="8">
        <f t="shared" si="4"/>
        <v>6</v>
      </c>
      <c r="S11" s="8">
        <f t="shared" si="5"/>
        <v>7</v>
      </c>
      <c r="T11" s="8">
        <f t="shared" si="6"/>
        <v>6</v>
      </c>
    </row>
    <row r="12" spans="1:20" ht="26.4" x14ac:dyDescent="0.3">
      <c r="A12" s="5" t="s">
        <v>108</v>
      </c>
      <c r="B12" s="5" t="s">
        <v>93</v>
      </c>
      <c r="C12" s="5" t="s">
        <v>34</v>
      </c>
      <c r="D12" s="5" t="s">
        <v>94</v>
      </c>
      <c r="E12" s="5">
        <v>3</v>
      </c>
      <c r="F12" s="5" t="s">
        <v>109</v>
      </c>
      <c r="G12" s="5" t="s">
        <v>110</v>
      </c>
      <c r="H12" s="5" t="s">
        <v>111</v>
      </c>
      <c r="I12" s="5" t="s">
        <v>112</v>
      </c>
      <c r="J12" s="5" t="s">
        <v>113</v>
      </c>
      <c r="K12" s="5" t="s">
        <v>114</v>
      </c>
      <c r="L12" s="5">
        <v>10</v>
      </c>
      <c r="M12" s="6">
        <f t="shared" si="0"/>
        <v>7</v>
      </c>
      <c r="N12" s="6" t="str">
        <f t="shared" si="1"/>
        <v>yes</v>
      </c>
      <c r="O12" s="7"/>
      <c r="P12" s="8">
        <f t="shared" si="2"/>
        <v>7</v>
      </c>
      <c r="Q12" s="8">
        <f t="shared" si="3"/>
        <v>6</v>
      </c>
      <c r="R12" s="8">
        <f t="shared" si="4"/>
        <v>5</v>
      </c>
      <c r="S12" s="8">
        <f t="shared" si="5"/>
        <v>6</v>
      </c>
      <c r="T12" s="8">
        <f t="shared" si="6"/>
        <v>7</v>
      </c>
    </row>
    <row r="13" spans="1:20" ht="26.4" x14ac:dyDescent="0.3">
      <c r="A13" s="5" t="s">
        <v>115</v>
      </c>
      <c r="B13" s="5" t="s">
        <v>93</v>
      </c>
      <c r="C13" s="5" t="s">
        <v>34</v>
      </c>
      <c r="D13" s="5" t="s">
        <v>94</v>
      </c>
      <c r="E13" s="5">
        <v>4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  <c r="L13" s="5">
        <v>10</v>
      </c>
      <c r="M13" s="6">
        <f t="shared" si="0"/>
        <v>7</v>
      </c>
      <c r="N13" s="6" t="str">
        <f t="shared" si="1"/>
        <v>yes</v>
      </c>
      <c r="O13" s="7"/>
      <c r="P13" s="8">
        <f t="shared" si="2"/>
        <v>6</v>
      </c>
      <c r="Q13" s="8">
        <f t="shared" si="3"/>
        <v>6</v>
      </c>
      <c r="R13" s="8">
        <f t="shared" si="4"/>
        <v>6</v>
      </c>
      <c r="S13" s="8">
        <f t="shared" si="5"/>
        <v>7</v>
      </c>
      <c r="T13" s="8">
        <f t="shared" si="6"/>
        <v>7</v>
      </c>
    </row>
    <row r="14" spans="1:20" ht="26.4" x14ac:dyDescent="0.3">
      <c r="A14" s="5" t="s">
        <v>122</v>
      </c>
      <c r="B14" s="5" t="s">
        <v>123</v>
      </c>
      <c r="C14" s="5" t="s">
        <v>34</v>
      </c>
      <c r="D14" s="5" t="s">
        <v>94</v>
      </c>
      <c r="E14" s="5">
        <v>1</v>
      </c>
      <c r="F14" s="5" t="s">
        <v>124</v>
      </c>
      <c r="G14" s="5" t="s">
        <v>125</v>
      </c>
      <c r="H14" s="5" t="s">
        <v>126</v>
      </c>
      <c r="I14" s="5" t="s">
        <v>127</v>
      </c>
      <c r="J14" s="5" t="s">
        <v>128</v>
      </c>
      <c r="K14" s="5" t="s">
        <v>129</v>
      </c>
      <c r="L14" s="5">
        <v>10</v>
      </c>
      <c r="M14" s="6">
        <f t="shared" si="0"/>
        <v>7</v>
      </c>
      <c r="N14" s="6" t="str">
        <f t="shared" si="1"/>
        <v>yes</v>
      </c>
      <c r="O14" s="7"/>
      <c r="P14" s="8">
        <f t="shared" si="2"/>
        <v>7</v>
      </c>
      <c r="Q14" s="8">
        <f t="shared" si="3"/>
        <v>7</v>
      </c>
      <c r="R14" s="8">
        <f t="shared" si="4"/>
        <v>4</v>
      </c>
      <c r="S14" s="8">
        <f t="shared" si="5"/>
        <v>7</v>
      </c>
      <c r="T14" s="8">
        <f t="shared" si="6"/>
        <v>7</v>
      </c>
    </row>
    <row r="15" spans="1:20" ht="26.4" x14ac:dyDescent="0.3">
      <c r="A15" s="5" t="s">
        <v>130</v>
      </c>
      <c r="B15" s="5" t="s">
        <v>123</v>
      </c>
      <c r="C15" s="5" t="s">
        <v>34</v>
      </c>
      <c r="D15" s="5" t="s">
        <v>94</v>
      </c>
      <c r="E15" s="5">
        <v>2</v>
      </c>
      <c r="F15" s="5" t="s">
        <v>131</v>
      </c>
      <c r="G15" s="5" t="s">
        <v>132</v>
      </c>
      <c r="H15" s="5" t="s">
        <v>133</v>
      </c>
      <c r="I15" s="5" t="s">
        <v>134</v>
      </c>
      <c r="J15" s="5" t="s">
        <v>135</v>
      </c>
      <c r="K15" s="5" t="s">
        <v>136</v>
      </c>
      <c r="L15" s="5">
        <v>10</v>
      </c>
      <c r="M15" s="6">
        <f t="shared" si="0"/>
        <v>8</v>
      </c>
      <c r="N15" s="6" t="str">
        <f t="shared" si="1"/>
        <v>yes</v>
      </c>
      <c r="O15" s="7"/>
      <c r="P15" s="8">
        <f t="shared" si="2"/>
        <v>6</v>
      </c>
      <c r="Q15" s="8">
        <f t="shared" si="3"/>
        <v>7</v>
      </c>
      <c r="R15" s="8">
        <f t="shared" si="4"/>
        <v>4</v>
      </c>
      <c r="S15" s="8">
        <f t="shared" si="5"/>
        <v>4</v>
      </c>
      <c r="T15" s="8">
        <f t="shared" si="6"/>
        <v>8</v>
      </c>
    </row>
    <row r="16" spans="1:20" ht="26.4" x14ac:dyDescent="0.3">
      <c r="A16" s="5" t="s">
        <v>137</v>
      </c>
      <c r="B16" s="5" t="s">
        <v>123</v>
      </c>
      <c r="C16" s="5" t="s">
        <v>34</v>
      </c>
      <c r="D16" s="5" t="s">
        <v>94</v>
      </c>
      <c r="E16" s="5">
        <v>3</v>
      </c>
      <c r="F16" s="5" t="s">
        <v>138</v>
      </c>
      <c r="G16" s="5" t="s">
        <v>139</v>
      </c>
      <c r="H16" s="5" t="s">
        <v>140</v>
      </c>
      <c r="I16" s="5" t="s">
        <v>141</v>
      </c>
      <c r="J16" s="5" t="s">
        <v>142</v>
      </c>
      <c r="K16" s="5" t="s">
        <v>143</v>
      </c>
      <c r="L16" s="5">
        <v>10</v>
      </c>
      <c r="M16" s="6">
        <f t="shared" si="0"/>
        <v>7</v>
      </c>
      <c r="N16" s="6" t="str">
        <f t="shared" si="1"/>
        <v>yes</v>
      </c>
      <c r="O16" s="7"/>
      <c r="P16" s="8">
        <f t="shared" si="2"/>
        <v>5</v>
      </c>
      <c r="Q16" s="8">
        <f t="shared" si="3"/>
        <v>6</v>
      </c>
      <c r="R16" s="8">
        <f t="shared" si="4"/>
        <v>6</v>
      </c>
      <c r="S16" s="8">
        <f t="shared" si="5"/>
        <v>5</v>
      </c>
      <c r="T16" s="8">
        <f t="shared" si="6"/>
        <v>7</v>
      </c>
    </row>
    <row r="17" spans="1:20" ht="26.4" x14ac:dyDescent="0.3">
      <c r="A17" s="5" t="s">
        <v>144</v>
      </c>
      <c r="B17" s="5" t="s">
        <v>123</v>
      </c>
      <c r="C17" s="5" t="s">
        <v>34</v>
      </c>
      <c r="D17" s="5" t="s">
        <v>94</v>
      </c>
      <c r="E17" s="5">
        <v>4</v>
      </c>
      <c r="F17" s="5" t="s">
        <v>145</v>
      </c>
      <c r="G17" s="5" t="s">
        <v>146</v>
      </c>
      <c r="H17" s="5" t="s">
        <v>147</v>
      </c>
      <c r="I17" s="5" t="s">
        <v>148</v>
      </c>
      <c r="J17" s="5" t="s">
        <v>149</v>
      </c>
      <c r="K17" s="5" t="s">
        <v>150</v>
      </c>
      <c r="L17" s="5">
        <v>10</v>
      </c>
      <c r="M17" s="6">
        <f t="shared" si="0"/>
        <v>7</v>
      </c>
      <c r="N17" s="6" t="str">
        <f t="shared" si="1"/>
        <v>yes</v>
      </c>
      <c r="O17" s="7"/>
      <c r="P17" s="8">
        <f t="shared" si="2"/>
        <v>5</v>
      </c>
      <c r="Q17" s="8">
        <f t="shared" si="3"/>
        <v>6</v>
      </c>
      <c r="R17" s="8">
        <f t="shared" si="4"/>
        <v>5</v>
      </c>
      <c r="S17" s="8">
        <f t="shared" si="5"/>
        <v>5</v>
      </c>
      <c r="T17" s="8">
        <f t="shared" si="6"/>
        <v>7</v>
      </c>
    </row>
    <row r="18" spans="1:20" ht="26.4" x14ac:dyDescent="0.3">
      <c r="A18" s="5" t="s">
        <v>151</v>
      </c>
      <c r="B18" s="5" t="s">
        <v>152</v>
      </c>
      <c r="C18" s="5" t="s">
        <v>34</v>
      </c>
      <c r="D18" s="5" t="s">
        <v>94</v>
      </c>
      <c r="E18" s="5">
        <v>1</v>
      </c>
      <c r="F18" s="5" t="s">
        <v>153</v>
      </c>
      <c r="G18" s="5" t="s">
        <v>154</v>
      </c>
      <c r="H18" s="5" t="s">
        <v>155</v>
      </c>
      <c r="I18" s="5" t="s">
        <v>156</v>
      </c>
      <c r="J18" s="5" t="s">
        <v>157</v>
      </c>
      <c r="K18" s="5" t="s">
        <v>158</v>
      </c>
      <c r="L18" s="5">
        <v>10</v>
      </c>
      <c r="M18" s="6">
        <f t="shared" si="0"/>
        <v>9</v>
      </c>
      <c r="N18" s="6" t="str">
        <f t="shared" si="1"/>
        <v>yes</v>
      </c>
      <c r="O18" s="7"/>
      <c r="P18" s="8">
        <f t="shared" si="2"/>
        <v>8</v>
      </c>
      <c r="Q18" s="8">
        <f t="shared" si="3"/>
        <v>7</v>
      </c>
      <c r="R18" s="8">
        <f t="shared" si="4"/>
        <v>5</v>
      </c>
      <c r="S18" s="8">
        <f t="shared" si="5"/>
        <v>9</v>
      </c>
      <c r="T18" s="8">
        <f t="shared" si="6"/>
        <v>7</v>
      </c>
    </row>
    <row r="19" spans="1:20" ht="26.4" x14ac:dyDescent="0.3">
      <c r="A19" s="5" t="s">
        <v>159</v>
      </c>
      <c r="B19" s="5" t="s">
        <v>152</v>
      </c>
      <c r="C19" s="5" t="s">
        <v>34</v>
      </c>
      <c r="D19" s="5" t="s">
        <v>94</v>
      </c>
      <c r="E19" s="5">
        <v>2</v>
      </c>
      <c r="F19" s="5" t="s">
        <v>160</v>
      </c>
      <c r="G19" s="5" t="s">
        <v>161</v>
      </c>
      <c r="H19" s="5" t="s">
        <v>162</v>
      </c>
      <c r="I19" s="5" t="s">
        <v>163</v>
      </c>
      <c r="J19" s="5" t="s">
        <v>164</v>
      </c>
      <c r="K19" s="5" t="s">
        <v>165</v>
      </c>
      <c r="L19" s="5">
        <v>10</v>
      </c>
      <c r="M19" s="6">
        <f t="shared" si="0"/>
        <v>8</v>
      </c>
      <c r="N19" s="6" t="str">
        <f t="shared" si="1"/>
        <v>yes</v>
      </c>
      <c r="O19" s="7"/>
      <c r="P19" s="8">
        <f t="shared" si="2"/>
        <v>6</v>
      </c>
      <c r="Q19" s="8">
        <f t="shared" si="3"/>
        <v>6</v>
      </c>
      <c r="R19" s="8">
        <f t="shared" si="4"/>
        <v>5</v>
      </c>
      <c r="S19" s="8">
        <f t="shared" si="5"/>
        <v>5</v>
      </c>
      <c r="T19" s="8">
        <f t="shared" si="6"/>
        <v>8</v>
      </c>
    </row>
    <row r="20" spans="1:20" ht="26.4" x14ac:dyDescent="0.3">
      <c r="A20" s="5" t="s">
        <v>166</v>
      </c>
      <c r="B20" s="5" t="s">
        <v>152</v>
      </c>
      <c r="C20" s="5" t="s">
        <v>34</v>
      </c>
      <c r="D20" s="5" t="s">
        <v>94</v>
      </c>
      <c r="E20" s="5">
        <v>3</v>
      </c>
      <c r="F20" s="5" t="s">
        <v>167</v>
      </c>
      <c r="G20" s="5" t="s">
        <v>168</v>
      </c>
      <c r="H20" s="5" t="s">
        <v>169</v>
      </c>
      <c r="I20" s="5" t="s">
        <v>170</v>
      </c>
      <c r="J20" s="5" t="s">
        <v>171</v>
      </c>
      <c r="K20" s="5" t="s">
        <v>172</v>
      </c>
      <c r="L20" s="5">
        <v>10</v>
      </c>
      <c r="M20" s="6">
        <f t="shared" si="0"/>
        <v>7</v>
      </c>
      <c r="N20" s="6" t="str">
        <f t="shared" si="1"/>
        <v>yes</v>
      </c>
      <c r="O20" s="7"/>
      <c r="P20" s="8">
        <f t="shared" si="2"/>
        <v>6</v>
      </c>
      <c r="Q20" s="8">
        <f t="shared" si="3"/>
        <v>5</v>
      </c>
      <c r="R20" s="8">
        <f t="shared" si="4"/>
        <v>4</v>
      </c>
      <c r="S20" s="8">
        <f t="shared" si="5"/>
        <v>6</v>
      </c>
      <c r="T20" s="8">
        <f t="shared" si="6"/>
        <v>7</v>
      </c>
    </row>
    <row r="21" spans="1:20" ht="26.4" x14ac:dyDescent="0.3">
      <c r="A21" s="5" t="s">
        <v>173</v>
      </c>
      <c r="B21" s="5" t="s">
        <v>152</v>
      </c>
      <c r="C21" s="5" t="s">
        <v>34</v>
      </c>
      <c r="D21" s="5" t="s">
        <v>94</v>
      </c>
      <c r="E21" s="5">
        <v>4</v>
      </c>
      <c r="F21" s="5" t="s">
        <v>174</v>
      </c>
      <c r="G21" s="5" t="s">
        <v>175</v>
      </c>
      <c r="H21" s="5" t="s">
        <v>176</v>
      </c>
      <c r="I21" s="5" t="s">
        <v>177</v>
      </c>
      <c r="J21" s="5" t="s">
        <v>178</v>
      </c>
      <c r="K21" s="5" t="s">
        <v>179</v>
      </c>
      <c r="L21" s="5">
        <v>10</v>
      </c>
      <c r="M21" s="6">
        <f t="shared" si="0"/>
        <v>6</v>
      </c>
      <c r="N21" s="6" t="str">
        <f t="shared" si="1"/>
        <v>yes</v>
      </c>
      <c r="O21" s="7"/>
      <c r="P21" s="8">
        <f t="shared" si="2"/>
        <v>5</v>
      </c>
      <c r="Q21" s="8">
        <f t="shared" si="3"/>
        <v>4</v>
      </c>
      <c r="R21" s="8">
        <f t="shared" si="4"/>
        <v>5</v>
      </c>
      <c r="S21" s="8">
        <f t="shared" si="5"/>
        <v>5</v>
      </c>
      <c r="T21" s="8">
        <f t="shared" si="6"/>
        <v>6</v>
      </c>
    </row>
    <row r="22" spans="1:20" ht="26.4" x14ac:dyDescent="0.3">
      <c r="A22" s="5" t="s">
        <v>180</v>
      </c>
      <c r="B22" s="5" t="s">
        <v>181</v>
      </c>
      <c r="C22" s="5" t="s">
        <v>34</v>
      </c>
      <c r="D22" s="5" t="s">
        <v>94</v>
      </c>
      <c r="E22" s="5">
        <v>1</v>
      </c>
      <c r="F22" s="5" t="s">
        <v>182</v>
      </c>
      <c r="G22" s="5" t="s">
        <v>183</v>
      </c>
      <c r="H22" s="5" t="s">
        <v>184</v>
      </c>
      <c r="I22" s="5" t="s">
        <v>185</v>
      </c>
      <c r="J22" s="5" t="s">
        <v>186</v>
      </c>
      <c r="K22" s="5" t="s">
        <v>187</v>
      </c>
      <c r="L22" s="5">
        <v>10</v>
      </c>
      <c r="M22" s="6">
        <f t="shared" si="0"/>
        <v>8</v>
      </c>
      <c r="N22" s="6" t="str">
        <f t="shared" si="1"/>
        <v>yes</v>
      </c>
      <c r="O22" s="7"/>
      <c r="P22" s="8">
        <f t="shared" si="2"/>
        <v>8</v>
      </c>
      <c r="Q22" s="8">
        <f t="shared" si="3"/>
        <v>5</v>
      </c>
      <c r="R22" s="8">
        <f t="shared" si="4"/>
        <v>4</v>
      </c>
      <c r="S22" s="8">
        <f t="shared" si="5"/>
        <v>6</v>
      </c>
      <c r="T22" s="8">
        <f t="shared" si="6"/>
        <v>6</v>
      </c>
    </row>
    <row r="23" spans="1:20" ht="26.4" x14ac:dyDescent="0.3">
      <c r="A23" s="5" t="s">
        <v>188</v>
      </c>
      <c r="B23" s="5" t="s">
        <v>181</v>
      </c>
      <c r="C23" s="5" t="s">
        <v>34</v>
      </c>
      <c r="D23" s="5" t="s">
        <v>94</v>
      </c>
      <c r="E23" s="5">
        <v>2</v>
      </c>
      <c r="F23" s="5" t="s">
        <v>189</v>
      </c>
      <c r="G23" s="5" t="s">
        <v>190</v>
      </c>
      <c r="H23" s="5" t="s">
        <v>191</v>
      </c>
      <c r="I23" s="5" t="s">
        <v>192</v>
      </c>
      <c r="J23" s="5" t="s">
        <v>193</v>
      </c>
      <c r="K23" s="5" t="s">
        <v>194</v>
      </c>
      <c r="L23" s="5">
        <v>10</v>
      </c>
      <c r="M23" s="6">
        <f t="shared" si="0"/>
        <v>7</v>
      </c>
      <c r="N23" s="6" t="str">
        <f t="shared" si="1"/>
        <v>yes</v>
      </c>
      <c r="O23" s="7"/>
      <c r="P23" s="8">
        <f t="shared" si="2"/>
        <v>6</v>
      </c>
      <c r="Q23" s="8">
        <f t="shared" si="3"/>
        <v>5</v>
      </c>
      <c r="R23" s="8">
        <f t="shared" si="4"/>
        <v>4</v>
      </c>
      <c r="S23" s="8">
        <f t="shared" si="5"/>
        <v>5</v>
      </c>
      <c r="T23" s="8">
        <f t="shared" si="6"/>
        <v>7</v>
      </c>
    </row>
    <row r="24" spans="1:20" ht="26.4" x14ac:dyDescent="0.3">
      <c r="A24" s="5" t="s">
        <v>195</v>
      </c>
      <c r="B24" s="5" t="s">
        <v>181</v>
      </c>
      <c r="C24" s="5" t="s">
        <v>34</v>
      </c>
      <c r="D24" s="5" t="s">
        <v>94</v>
      </c>
      <c r="E24" s="5">
        <v>3</v>
      </c>
      <c r="F24" s="5" t="s">
        <v>196</v>
      </c>
      <c r="G24" s="5" t="s">
        <v>197</v>
      </c>
      <c r="H24" s="5" t="s">
        <v>198</v>
      </c>
      <c r="I24" s="5" t="s">
        <v>170</v>
      </c>
      <c r="J24" s="5" t="s">
        <v>199</v>
      </c>
      <c r="K24" s="5" t="s">
        <v>200</v>
      </c>
      <c r="L24" s="5">
        <v>10</v>
      </c>
      <c r="M24" s="6">
        <f t="shared" si="0"/>
        <v>6</v>
      </c>
      <c r="N24" s="6" t="str">
        <f t="shared" si="1"/>
        <v>yes</v>
      </c>
      <c r="O24" s="7"/>
      <c r="P24" s="8">
        <f t="shared" si="2"/>
        <v>6</v>
      </c>
      <c r="Q24" s="8">
        <f t="shared" si="3"/>
        <v>5</v>
      </c>
      <c r="R24" s="8">
        <f t="shared" si="4"/>
        <v>4</v>
      </c>
      <c r="S24" s="8">
        <f t="shared" si="5"/>
        <v>6</v>
      </c>
      <c r="T24" s="8">
        <f t="shared" si="6"/>
        <v>6</v>
      </c>
    </row>
    <row r="25" spans="1:20" ht="26.4" x14ac:dyDescent="0.3">
      <c r="A25" s="5" t="s">
        <v>201</v>
      </c>
      <c r="B25" s="5" t="s">
        <v>181</v>
      </c>
      <c r="C25" s="5" t="s">
        <v>34</v>
      </c>
      <c r="D25" s="5" t="s">
        <v>94</v>
      </c>
      <c r="E25" s="5">
        <v>4</v>
      </c>
      <c r="F25" s="5" t="s">
        <v>202</v>
      </c>
      <c r="G25" s="5" t="s">
        <v>203</v>
      </c>
      <c r="H25" s="5" t="s">
        <v>204</v>
      </c>
      <c r="I25" s="5" t="s">
        <v>205</v>
      </c>
      <c r="J25" s="5" t="s">
        <v>206</v>
      </c>
      <c r="K25" s="5" t="s">
        <v>207</v>
      </c>
      <c r="L25" s="5">
        <v>10</v>
      </c>
      <c r="M25" s="6">
        <f t="shared" si="0"/>
        <v>7</v>
      </c>
      <c r="N25" s="6" t="str">
        <f t="shared" si="1"/>
        <v>yes</v>
      </c>
      <c r="O25" s="7"/>
      <c r="P25" s="8">
        <f t="shared" si="2"/>
        <v>6</v>
      </c>
      <c r="Q25" s="8">
        <f t="shared" si="3"/>
        <v>5</v>
      </c>
      <c r="R25" s="8">
        <f t="shared" si="4"/>
        <v>5</v>
      </c>
      <c r="S25" s="8">
        <f t="shared" si="5"/>
        <v>6</v>
      </c>
      <c r="T25" s="8">
        <f t="shared" si="6"/>
        <v>7</v>
      </c>
    </row>
    <row r="26" spans="1:20" ht="26.4" x14ac:dyDescent="0.3">
      <c r="A26" s="5" t="s">
        <v>208</v>
      </c>
      <c r="B26" s="5" t="s">
        <v>93</v>
      </c>
      <c r="C26" s="5" t="s">
        <v>34</v>
      </c>
      <c r="D26" s="5" t="s">
        <v>209</v>
      </c>
      <c r="E26" s="5">
        <v>1</v>
      </c>
      <c r="F26" s="5" t="s">
        <v>210</v>
      </c>
      <c r="G26" s="5" t="s">
        <v>211</v>
      </c>
      <c r="H26" s="5" t="s">
        <v>212</v>
      </c>
      <c r="I26" s="5" t="s">
        <v>213</v>
      </c>
      <c r="J26" s="5" t="s">
        <v>214</v>
      </c>
      <c r="K26" s="5" t="s">
        <v>215</v>
      </c>
      <c r="L26" s="5">
        <v>10</v>
      </c>
      <c r="M26" s="6">
        <f t="shared" si="0"/>
        <v>8</v>
      </c>
      <c r="N26" s="6" t="str">
        <f t="shared" si="1"/>
        <v>yes</v>
      </c>
      <c r="O26" s="7"/>
      <c r="P26" s="8">
        <f t="shared" si="2"/>
        <v>6</v>
      </c>
      <c r="Q26" s="8">
        <f t="shared" si="3"/>
        <v>7</v>
      </c>
      <c r="R26" s="8">
        <f t="shared" si="4"/>
        <v>6</v>
      </c>
      <c r="S26" s="8">
        <f t="shared" si="5"/>
        <v>7</v>
      </c>
      <c r="T26" s="8">
        <f t="shared" si="6"/>
        <v>8</v>
      </c>
    </row>
    <row r="27" spans="1:20" ht="26.4" x14ac:dyDescent="0.3">
      <c r="A27" s="5" t="s">
        <v>216</v>
      </c>
      <c r="B27" s="5" t="s">
        <v>93</v>
      </c>
      <c r="C27" s="5" t="s">
        <v>34</v>
      </c>
      <c r="D27" s="5" t="s">
        <v>209</v>
      </c>
      <c r="E27" s="5">
        <v>2</v>
      </c>
      <c r="F27" s="5" t="s">
        <v>217</v>
      </c>
      <c r="G27" s="5" t="s">
        <v>218</v>
      </c>
      <c r="H27" s="5" t="s">
        <v>219</v>
      </c>
      <c r="I27" s="5" t="s">
        <v>220</v>
      </c>
      <c r="J27" s="5" t="s">
        <v>221</v>
      </c>
      <c r="K27" s="5" t="s">
        <v>222</v>
      </c>
      <c r="L27" s="5">
        <v>10</v>
      </c>
      <c r="M27" s="6">
        <f t="shared" si="0"/>
        <v>7</v>
      </c>
      <c r="N27" s="6" t="str">
        <f t="shared" si="1"/>
        <v>yes</v>
      </c>
      <c r="O27" s="7"/>
      <c r="P27" s="8">
        <f t="shared" si="2"/>
        <v>5</v>
      </c>
      <c r="Q27" s="8">
        <f t="shared" si="3"/>
        <v>7</v>
      </c>
      <c r="R27" s="8">
        <f t="shared" si="4"/>
        <v>6</v>
      </c>
      <c r="S27" s="8">
        <f t="shared" si="5"/>
        <v>6</v>
      </c>
      <c r="T27" s="8">
        <f t="shared" si="6"/>
        <v>7</v>
      </c>
    </row>
    <row r="28" spans="1:20" ht="26.4" x14ac:dyDescent="0.3">
      <c r="A28" s="5" t="s">
        <v>223</v>
      </c>
      <c r="B28" s="5" t="s">
        <v>93</v>
      </c>
      <c r="C28" s="5" t="s">
        <v>34</v>
      </c>
      <c r="D28" s="5" t="s">
        <v>209</v>
      </c>
      <c r="E28" s="5">
        <v>3</v>
      </c>
      <c r="F28" s="5" t="s">
        <v>224</v>
      </c>
      <c r="G28" s="5" t="s">
        <v>225</v>
      </c>
      <c r="H28" s="5" t="s">
        <v>226</v>
      </c>
      <c r="I28" s="5" t="s">
        <v>227</v>
      </c>
      <c r="J28" s="5" t="s">
        <v>228</v>
      </c>
      <c r="K28" s="5" t="s">
        <v>229</v>
      </c>
      <c r="L28" s="5">
        <v>10</v>
      </c>
      <c r="M28" s="6">
        <f t="shared" si="0"/>
        <v>7</v>
      </c>
      <c r="N28" s="6" t="str">
        <f t="shared" si="1"/>
        <v>yes</v>
      </c>
      <c r="O28" s="7"/>
      <c r="P28" s="8">
        <f t="shared" si="2"/>
        <v>7</v>
      </c>
      <c r="Q28" s="8">
        <f t="shared" si="3"/>
        <v>7</v>
      </c>
      <c r="R28" s="8">
        <f t="shared" si="4"/>
        <v>5</v>
      </c>
      <c r="S28" s="8">
        <f t="shared" si="5"/>
        <v>7</v>
      </c>
      <c r="T28" s="8">
        <f t="shared" si="6"/>
        <v>7</v>
      </c>
    </row>
    <row r="29" spans="1:20" ht="26.4" x14ac:dyDescent="0.3">
      <c r="A29" s="5" t="s">
        <v>230</v>
      </c>
      <c r="B29" s="5" t="s">
        <v>93</v>
      </c>
      <c r="C29" s="5" t="s">
        <v>34</v>
      </c>
      <c r="D29" s="5" t="s">
        <v>209</v>
      </c>
      <c r="E29" s="5">
        <v>4</v>
      </c>
      <c r="F29" s="5" t="s">
        <v>231</v>
      </c>
      <c r="G29" s="5" t="s">
        <v>232</v>
      </c>
      <c r="H29" s="5" t="s">
        <v>233</v>
      </c>
      <c r="I29" s="5" t="s">
        <v>234</v>
      </c>
      <c r="J29" s="5" t="s">
        <v>235</v>
      </c>
      <c r="K29" s="5" t="s">
        <v>236</v>
      </c>
      <c r="L29" s="5">
        <v>10</v>
      </c>
      <c r="M29" s="6">
        <f t="shared" si="0"/>
        <v>7</v>
      </c>
      <c r="N29" s="6" t="str">
        <f t="shared" si="1"/>
        <v>yes</v>
      </c>
      <c r="O29" s="7"/>
      <c r="P29" s="8">
        <f t="shared" si="2"/>
        <v>6</v>
      </c>
      <c r="Q29" s="8">
        <f t="shared" si="3"/>
        <v>7</v>
      </c>
      <c r="R29" s="8">
        <f t="shared" si="4"/>
        <v>6</v>
      </c>
      <c r="S29" s="8">
        <f t="shared" si="5"/>
        <v>6</v>
      </c>
      <c r="T29" s="8">
        <f t="shared" si="6"/>
        <v>7</v>
      </c>
    </row>
    <row r="30" spans="1:20" ht="26.4" x14ac:dyDescent="0.3">
      <c r="A30" s="5" t="s">
        <v>237</v>
      </c>
      <c r="B30" s="5" t="s">
        <v>123</v>
      </c>
      <c r="C30" s="5" t="s">
        <v>34</v>
      </c>
      <c r="D30" s="5" t="s">
        <v>209</v>
      </c>
      <c r="E30" s="5">
        <v>1</v>
      </c>
      <c r="F30" s="5" t="s">
        <v>238</v>
      </c>
      <c r="G30" s="5" t="s">
        <v>168</v>
      </c>
      <c r="H30" s="5" t="s">
        <v>239</v>
      </c>
      <c r="I30" s="5" t="s">
        <v>240</v>
      </c>
      <c r="J30" s="5" t="s">
        <v>214</v>
      </c>
      <c r="K30" s="5" t="s">
        <v>241</v>
      </c>
      <c r="L30" s="5">
        <v>10</v>
      </c>
      <c r="M30" s="6">
        <f t="shared" si="0"/>
        <v>7</v>
      </c>
      <c r="N30" s="6" t="str">
        <f t="shared" si="1"/>
        <v>yes</v>
      </c>
      <c r="O30" s="7"/>
      <c r="P30" s="8">
        <f t="shared" si="2"/>
        <v>6</v>
      </c>
      <c r="Q30" s="8">
        <f t="shared" si="3"/>
        <v>7</v>
      </c>
      <c r="R30" s="8">
        <f t="shared" si="4"/>
        <v>6</v>
      </c>
      <c r="S30" s="8">
        <f t="shared" si="5"/>
        <v>7</v>
      </c>
      <c r="T30" s="8">
        <f t="shared" si="6"/>
        <v>7</v>
      </c>
    </row>
    <row r="31" spans="1:20" ht="26.4" x14ac:dyDescent="0.3">
      <c r="A31" s="5" t="s">
        <v>242</v>
      </c>
      <c r="B31" s="5" t="s">
        <v>123</v>
      </c>
      <c r="C31" s="5" t="s">
        <v>34</v>
      </c>
      <c r="D31" s="5" t="s">
        <v>209</v>
      </c>
      <c r="E31" s="5">
        <v>2</v>
      </c>
      <c r="F31" s="5" t="s">
        <v>243</v>
      </c>
      <c r="G31" s="5" t="s">
        <v>244</v>
      </c>
      <c r="H31" s="5" t="s">
        <v>245</v>
      </c>
      <c r="I31" s="5" t="s">
        <v>246</v>
      </c>
      <c r="J31" s="5" t="s">
        <v>247</v>
      </c>
      <c r="K31" s="5" t="s">
        <v>248</v>
      </c>
      <c r="L31" s="5">
        <v>10</v>
      </c>
      <c r="M31" s="6">
        <f t="shared" si="0"/>
        <v>7</v>
      </c>
      <c r="N31" s="6" t="str">
        <f t="shared" si="1"/>
        <v>yes</v>
      </c>
      <c r="O31" s="7"/>
      <c r="P31" s="8">
        <f t="shared" si="2"/>
        <v>5</v>
      </c>
      <c r="Q31" s="8">
        <f t="shared" si="3"/>
        <v>5</v>
      </c>
      <c r="R31" s="8">
        <f t="shared" si="4"/>
        <v>5</v>
      </c>
      <c r="S31" s="8">
        <f t="shared" si="5"/>
        <v>6</v>
      </c>
      <c r="T31" s="8">
        <f t="shared" si="6"/>
        <v>7</v>
      </c>
    </row>
    <row r="32" spans="1:20" ht="26.4" x14ac:dyDescent="0.3">
      <c r="A32" s="5" t="s">
        <v>249</v>
      </c>
      <c r="B32" s="5" t="s">
        <v>123</v>
      </c>
      <c r="C32" s="5" t="s">
        <v>34</v>
      </c>
      <c r="D32" s="5" t="s">
        <v>209</v>
      </c>
      <c r="E32" s="5">
        <v>3</v>
      </c>
      <c r="F32" s="5" t="s">
        <v>224</v>
      </c>
      <c r="G32" s="5" t="s">
        <v>225</v>
      </c>
      <c r="H32" s="5" t="s">
        <v>226</v>
      </c>
      <c r="I32" s="5" t="s">
        <v>227</v>
      </c>
      <c r="J32" s="5" t="s">
        <v>250</v>
      </c>
      <c r="K32" s="5" t="s">
        <v>251</v>
      </c>
      <c r="L32" s="5">
        <v>10</v>
      </c>
      <c r="M32" s="6">
        <f t="shared" si="0"/>
        <v>8</v>
      </c>
      <c r="N32" s="6" t="str">
        <f t="shared" si="1"/>
        <v>yes</v>
      </c>
      <c r="O32" s="7"/>
      <c r="P32" s="8">
        <f t="shared" si="2"/>
        <v>7</v>
      </c>
      <c r="Q32" s="8">
        <f t="shared" si="3"/>
        <v>7</v>
      </c>
      <c r="R32" s="8">
        <f t="shared" si="4"/>
        <v>5</v>
      </c>
      <c r="S32" s="8">
        <f t="shared" si="5"/>
        <v>6</v>
      </c>
      <c r="T32" s="8">
        <f t="shared" si="6"/>
        <v>8</v>
      </c>
    </row>
    <row r="33" spans="1:20" ht="26.4" x14ac:dyDescent="0.3">
      <c r="A33" s="5" t="s">
        <v>252</v>
      </c>
      <c r="B33" s="5" t="s">
        <v>123</v>
      </c>
      <c r="C33" s="5" t="s">
        <v>34</v>
      </c>
      <c r="D33" s="5" t="s">
        <v>209</v>
      </c>
      <c r="E33" s="5">
        <v>4</v>
      </c>
      <c r="F33" s="5" t="s">
        <v>231</v>
      </c>
      <c r="G33" s="5" t="s">
        <v>253</v>
      </c>
      <c r="H33" s="5" t="s">
        <v>233</v>
      </c>
      <c r="I33" s="5" t="s">
        <v>254</v>
      </c>
      <c r="J33" s="5" t="s">
        <v>235</v>
      </c>
      <c r="K33" s="5" t="s">
        <v>255</v>
      </c>
      <c r="L33" s="5">
        <v>10</v>
      </c>
      <c r="M33" s="6">
        <f t="shared" si="0"/>
        <v>8</v>
      </c>
      <c r="N33" s="6" t="str">
        <f t="shared" si="1"/>
        <v>yes</v>
      </c>
      <c r="O33" s="7"/>
      <c r="P33" s="8">
        <f t="shared" si="2"/>
        <v>6</v>
      </c>
      <c r="Q33" s="8">
        <f t="shared" si="3"/>
        <v>7</v>
      </c>
      <c r="R33" s="8">
        <f t="shared" si="4"/>
        <v>5</v>
      </c>
      <c r="S33" s="8">
        <f t="shared" si="5"/>
        <v>6</v>
      </c>
      <c r="T33" s="8">
        <f t="shared" si="6"/>
        <v>8</v>
      </c>
    </row>
    <row r="34" spans="1:20" ht="26.4" x14ac:dyDescent="0.3">
      <c r="A34" s="5" t="s">
        <v>256</v>
      </c>
      <c r="B34" s="5" t="s">
        <v>152</v>
      </c>
      <c r="C34" s="5" t="s">
        <v>34</v>
      </c>
      <c r="D34" s="5" t="s">
        <v>209</v>
      </c>
      <c r="E34" s="5">
        <v>1</v>
      </c>
      <c r="F34" s="5" t="s">
        <v>257</v>
      </c>
      <c r="G34" s="5" t="s">
        <v>258</v>
      </c>
      <c r="H34" s="5" t="s">
        <v>259</v>
      </c>
      <c r="I34" s="5" t="s">
        <v>240</v>
      </c>
      <c r="J34" s="5" t="s">
        <v>260</v>
      </c>
      <c r="K34" s="5" t="s">
        <v>261</v>
      </c>
      <c r="L34" s="5">
        <v>10</v>
      </c>
      <c r="M34" s="6">
        <f t="shared" si="0"/>
        <v>7</v>
      </c>
      <c r="N34" s="6" t="str">
        <f t="shared" si="1"/>
        <v>yes</v>
      </c>
      <c r="O34" s="7"/>
      <c r="P34" s="8">
        <f t="shared" si="2"/>
        <v>6</v>
      </c>
      <c r="Q34" s="8">
        <f t="shared" si="3"/>
        <v>5</v>
      </c>
      <c r="R34" s="8">
        <f t="shared" si="4"/>
        <v>6</v>
      </c>
      <c r="S34" s="8">
        <f t="shared" si="5"/>
        <v>6</v>
      </c>
      <c r="T34" s="8">
        <f t="shared" si="6"/>
        <v>7</v>
      </c>
    </row>
    <row r="35" spans="1:20" ht="26.4" x14ac:dyDescent="0.3">
      <c r="A35" s="5" t="s">
        <v>262</v>
      </c>
      <c r="B35" s="5" t="s">
        <v>152</v>
      </c>
      <c r="C35" s="5" t="s">
        <v>34</v>
      </c>
      <c r="D35" s="5" t="s">
        <v>209</v>
      </c>
      <c r="E35" s="5">
        <v>2</v>
      </c>
      <c r="F35" s="5" t="s">
        <v>263</v>
      </c>
      <c r="G35" s="5" t="s">
        <v>264</v>
      </c>
      <c r="H35" s="5" t="s">
        <v>265</v>
      </c>
      <c r="I35" s="5" t="s">
        <v>266</v>
      </c>
      <c r="J35" s="5" t="s">
        <v>267</v>
      </c>
      <c r="K35" s="5" t="s">
        <v>268</v>
      </c>
      <c r="L35" s="5">
        <v>10</v>
      </c>
      <c r="M35" s="6">
        <f t="shared" si="0"/>
        <v>8</v>
      </c>
      <c r="N35" s="6" t="str">
        <f t="shared" si="1"/>
        <v>yes</v>
      </c>
      <c r="O35" s="7"/>
      <c r="P35" s="8">
        <f t="shared" si="2"/>
        <v>5</v>
      </c>
      <c r="Q35" s="8">
        <f t="shared" si="3"/>
        <v>4</v>
      </c>
      <c r="R35" s="8">
        <f t="shared" si="4"/>
        <v>5</v>
      </c>
      <c r="S35" s="8">
        <f t="shared" si="5"/>
        <v>8</v>
      </c>
      <c r="T35" s="8">
        <f t="shared" si="6"/>
        <v>7</v>
      </c>
    </row>
    <row r="36" spans="1:20" ht="26.4" x14ac:dyDescent="0.3">
      <c r="A36" s="5" t="s">
        <v>269</v>
      </c>
      <c r="B36" s="5" t="s">
        <v>152</v>
      </c>
      <c r="C36" s="5" t="s">
        <v>34</v>
      </c>
      <c r="D36" s="5" t="s">
        <v>209</v>
      </c>
      <c r="E36" s="5">
        <v>3</v>
      </c>
      <c r="F36" s="5" t="s">
        <v>270</v>
      </c>
      <c r="G36" s="5" t="s">
        <v>271</v>
      </c>
      <c r="H36" s="5" t="s">
        <v>272</v>
      </c>
      <c r="I36" s="5" t="s">
        <v>273</v>
      </c>
      <c r="J36" s="5" t="s">
        <v>274</v>
      </c>
      <c r="K36" s="5" t="s">
        <v>275</v>
      </c>
      <c r="L36" s="5">
        <v>10</v>
      </c>
      <c r="M36" s="6">
        <f t="shared" si="0"/>
        <v>6</v>
      </c>
      <c r="N36" s="6" t="str">
        <f t="shared" si="1"/>
        <v>yes</v>
      </c>
      <c r="O36" s="7"/>
      <c r="P36" s="8">
        <f t="shared" si="2"/>
        <v>5</v>
      </c>
      <c r="Q36" s="8">
        <f t="shared" si="3"/>
        <v>6</v>
      </c>
      <c r="R36" s="8">
        <f t="shared" si="4"/>
        <v>5</v>
      </c>
      <c r="S36" s="8">
        <f t="shared" si="5"/>
        <v>5</v>
      </c>
      <c r="T36" s="8">
        <f t="shared" si="6"/>
        <v>6</v>
      </c>
    </row>
    <row r="37" spans="1:20" ht="26.4" x14ac:dyDescent="0.3">
      <c r="A37" s="5" t="s">
        <v>276</v>
      </c>
      <c r="B37" s="5" t="s">
        <v>152</v>
      </c>
      <c r="C37" s="5" t="s">
        <v>34</v>
      </c>
      <c r="D37" s="5" t="s">
        <v>209</v>
      </c>
      <c r="E37" s="5">
        <v>4</v>
      </c>
      <c r="F37" s="5" t="s">
        <v>277</v>
      </c>
      <c r="G37" s="5" t="s">
        <v>278</v>
      </c>
      <c r="H37" s="5" t="s">
        <v>279</v>
      </c>
      <c r="I37" s="5" t="s">
        <v>280</v>
      </c>
      <c r="J37" s="5" t="s">
        <v>281</v>
      </c>
      <c r="K37" s="5" t="s">
        <v>282</v>
      </c>
      <c r="L37" s="5">
        <v>10</v>
      </c>
      <c r="M37" s="6">
        <f t="shared" si="0"/>
        <v>7</v>
      </c>
      <c r="N37" s="6" t="str">
        <f t="shared" si="1"/>
        <v>yes</v>
      </c>
      <c r="O37" s="7"/>
      <c r="P37" s="8">
        <f t="shared" si="2"/>
        <v>5</v>
      </c>
      <c r="Q37" s="8">
        <f t="shared" si="3"/>
        <v>6</v>
      </c>
      <c r="R37" s="8">
        <f t="shared" si="4"/>
        <v>5</v>
      </c>
      <c r="S37" s="8">
        <f t="shared" si="5"/>
        <v>6</v>
      </c>
      <c r="T37" s="8">
        <f t="shared" si="6"/>
        <v>7</v>
      </c>
    </row>
    <row r="38" spans="1:20" ht="26.4" x14ac:dyDescent="0.3">
      <c r="A38" s="5" t="s">
        <v>283</v>
      </c>
      <c r="B38" s="5" t="s">
        <v>181</v>
      </c>
      <c r="C38" s="5" t="s">
        <v>34</v>
      </c>
      <c r="D38" s="5" t="s">
        <v>209</v>
      </c>
      <c r="E38" s="5">
        <v>1</v>
      </c>
      <c r="F38" s="5" t="s">
        <v>284</v>
      </c>
      <c r="G38" s="5" t="s">
        <v>285</v>
      </c>
      <c r="H38" s="5" t="s">
        <v>286</v>
      </c>
      <c r="I38" s="5" t="s">
        <v>287</v>
      </c>
      <c r="J38" s="5" t="s">
        <v>288</v>
      </c>
      <c r="K38" s="5" t="s">
        <v>289</v>
      </c>
      <c r="L38" s="5">
        <v>10</v>
      </c>
      <c r="M38" s="6">
        <f t="shared" si="0"/>
        <v>8</v>
      </c>
      <c r="N38" s="6" t="str">
        <f t="shared" si="1"/>
        <v>yes</v>
      </c>
      <c r="O38" s="7"/>
      <c r="P38" s="8">
        <f t="shared" si="2"/>
        <v>5</v>
      </c>
      <c r="Q38" s="8">
        <f t="shared" si="3"/>
        <v>6</v>
      </c>
      <c r="R38" s="8">
        <f t="shared" si="4"/>
        <v>5</v>
      </c>
      <c r="S38" s="8">
        <f t="shared" si="5"/>
        <v>6</v>
      </c>
      <c r="T38" s="8">
        <f t="shared" si="6"/>
        <v>8</v>
      </c>
    </row>
    <row r="39" spans="1:20" ht="26.4" x14ac:dyDescent="0.3">
      <c r="A39" s="5" t="s">
        <v>290</v>
      </c>
      <c r="B39" s="5" t="s">
        <v>181</v>
      </c>
      <c r="C39" s="5" t="s">
        <v>34</v>
      </c>
      <c r="D39" s="5" t="s">
        <v>209</v>
      </c>
      <c r="E39" s="5">
        <v>2</v>
      </c>
      <c r="F39" s="5" t="s">
        <v>291</v>
      </c>
      <c r="G39" s="5" t="s">
        <v>292</v>
      </c>
      <c r="H39" s="5" t="s">
        <v>293</v>
      </c>
      <c r="I39" s="5" t="s">
        <v>294</v>
      </c>
      <c r="J39" s="5" t="s">
        <v>295</v>
      </c>
      <c r="K39" s="5" t="s">
        <v>296</v>
      </c>
      <c r="L39" s="5">
        <v>10</v>
      </c>
      <c r="M39" s="6">
        <f t="shared" si="0"/>
        <v>7</v>
      </c>
      <c r="N39" s="6" t="str">
        <f t="shared" si="1"/>
        <v>yes</v>
      </c>
      <c r="O39" s="7"/>
      <c r="P39" s="8">
        <f t="shared" si="2"/>
        <v>6</v>
      </c>
      <c r="Q39" s="8">
        <f t="shared" si="3"/>
        <v>4</v>
      </c>
      <c r="R39" s="8">
        <f t="shared" si="4"/>
        <v>6</v>
      </c>
      <c r="S39" s="8">
        <f t="shared" si="5"/>
        <v>7</v>
      </c>
      <c r="T39" s="8">
        <f t="shared" si="6"/>
        <v>7</v>
      </c>
    </row>
    <row r="40" spans="1:20" ht="26.4" x14ac:dyDescent="0.3">
      <c r="A40" s="5" t="s">
        <v>297</v>
      </c>
      <c r="B40" s="5" t="s">
        <v>181</v>
      </c>
      <c r="C40" s="5" t="s">
        <v>34</v>
      </c>
      <c r="D40" s="5" t="s">
        <v>209</v>
      </c>
      <c r="E40" s="5">
        <v>3</v>
      </c>
      <c r="F40" s="5" t="s">
        <v>298</v>
      </c>
      <c r="G40" s="5" t="s">
        <v>299</v>
      </c>
      <c r="H40" s="5" t="s">
        <v>300</v>
      </c>
      <c r="I40" s="5" t="s">
        <v>301</v>
      </c>
      <c r="J40" s="5" t="s">
        <v>302</v>
      </c>
      <c r="K40" s="5" t="s">
        <v>303</v>
      </c>
      <c r="L40" s="5">
        <v>10</v>
      </c>
      <c r="M40" s="6">
        <f t="shared" si="0"/>
        <v>7</v>
      </c>
      <c r="N40" s="6" t="str">
        <f t="shared" si="1"/>
        <v>yes</v>
      </c>
      <c r="O40" s="7"/>
      <c r="P40" s="8">
        <f t="shared" si="2"/>
        <v>5</v>
      </c>
      <c r="Q40" s="8">
        <f t="shared" si="3"/>
        <v>5</v>
      </c>
      <c r="R40" s="8">
        <f t="shared" si="4"/>
        <v>7</v>
      </c>
      <c r="S40" s="8">
        <f t="shared" si="5"/>
        <v>6</v>
      </c>
      <c r="T40" s="8">
        <f t="shared" si="6"/>
        <v>6</v>
      </c>
    </row>
    <row r="41" spans="1:20" ht="26.4" x14ac:dyDescent="0.3">
      <c r="A41" s="5" t="s">
        <v>304</v>
      </c>
      <c r="B41" s="5" t="s">
        <v>181</v>
      </c>
      <c r="C41" s="5" t="s">
        <v>34</v>
      </c>
      <c r="D41" s="5" t="s">
        <v>209</v>
      </c>
      <c r="E41" s="5">
        <v>4</v>
      </c>
      <c r="F41" s="5" t="s">
        <v>305</v>
      </c>
      <c r="G41" s="5" t="s">
        <v>306</v>
      </c>
      <c r="H41" s="5" t="s">
        <v>307</v>
      </c>
      <c r="I41" s="5" t="s">
        <v>308</v>
      </c>
      <c r="J41" s="5" t="s">
        <v>309</v>
      </c>
      <c r="K41" s="5" t="s">
        <v>310</v>
      </c>
      <c r="L41" s="5">
        <v>10</v>
      </c>
      <c r="M41" s="6">
        <f t="shared" si="0"/>
        <v>7</v>
      </c>
      <c r="N41" s="6" t="str">
        <f t="shared" si="1"/>
        <v>yes</v>
      </c>
      <c r="O41" s="7"/>
      <c r="P41" s="8">
        <f t="shared" si="2"/>
        <v>6</v>
      </c>
      <c r="Q41" s="8">
        <f t="shared" si="3"/>
        <v>5</v>
      </c>
      <c r="R41" s="8">
        <f t="shared" si="4"/>
        <v>6</v>
      </c>
      <c r="S41" s="8">
        <f t="shared" si="5"/>
        <v>7</v>
      </c>
      <c r="T41" s="8">
        <f t="shared" si="6"/>
        <v>7</v>
      </c>
    </row>
    <row r="42" spans="1:20" ht="26.4" x14ac:dyDescent="0.3">
      <c r="A42" s="5" t="s">
        <v>311</v>
      </c>
      <c r="B42" s="5" t="s">
        <v>93</v>
      </c>
      <c r="C42" s="5" t="s">
        <v>34</v>
      </c>
      <c r="D42" s="5" t="s">
        <v>312</v>
      </c>
      <c r="E42" s="5">
        <v>1</v>
      </c>
      <c r="F42" s="5" t="s">
        <v>313</v>
      </c>
      <c r="G42" s="5" t="s">
        <v>87</v>
      </c>
      <c r="H42" s="5" t="s">
        <v>88</v>
      </c>
      <c r="I42" s="5" t="s">
        <v>314</v>
      </c>
      <c r="J42" s="5" t="s">
        <v>315</v>
      </c>
      <c r="K42" s="5" t="s">
        <v>316</v>
      </c>
      <c r="L42" s="5">
        <v>10</v>
      </c>
      <c r="M42" s="6">
        <f t="shared" si="0"/>
        <v>6</v>
      </c>
      <c r="N42" s="6" t="str">
        <f t="shared" si="1"/>
        <v>yes</v>
      </c>
      <c r="O42" s="7"/>
      <c r="P42" s="8">
        <f t="shared" si="2"/>
        <v>5</v>
      </c>
      <c r="Q42" s="8">
        <f t="shared" si="3"/>
        <v>5</v>
      </c>
      <c r="R42" s="8">
        <f t="shared" si="4"/>
        <v>6</v>
      </c>
      <c r="S42" s="8">
        <f t="shared" si="5"/>
        <v>6</v>
      </c>
      <c r="T42" s="8">
        <f t="shared" si="6"/>
        <v>6</v>
      </c>
    </row>
    <row r="43" spans="1:20" ht="26.4" x14ac:dyDescent="0.3">
      <c r="A43" s="5" t="s">
        <v>317</v>
      </c>
      <c r="B43" s="5" t="s">
        <v>93</v>
      </c>
      <c r="C43" s="5" t="s">
        <v>34</v>
      </c>
      <c r="D43" s="5" t="s">
        <v>312</v>
      </c>
      <c r="E43" s="5">
        <v>2</v>
      </c>
      <c r="F43" s="5" t="s">
        <v>318</v>
      </c>
      <c r="G43" s="5" t="s">
        <v>319</v>
      </c>
      <c r="H43" s="5" t="s">
        <v>320</v>
      </c>
      <c r="I43" s="5" t="s">
        <v>321</v>
      </c>
      <c r="J43" s="5" t="s">
        <v>322</v>
      </c>
      <c r="K43" s="5" t="s">
        <v>323</v>
      </c>
      <c r="L43" s="5">
        <v>10</v>
      </c>
      <c r="M43" s="6">
        <f t="shared" si="0"/>
        <v>7</v>
      </c>
      <c r="N43" s="6" t="str">
        <f t="shared" si="1"/>
        <v>yes</v>
      </c>
      <c r="O43" s="7"/>
      <c r="P43" s="8">
        <f t="shared" si="2"/>
        <v>5</v>
      </c>
      <c r="Q43" s="8">
        <f t="shared" si="3"/>
        <v>6</v>
      </c>
      <c r="R43" s="8">
        <f t="shared" si="4"/>
        <v>6</v>
      </c>
      <c r="S43" s="8">
        <f t="shared" si="5"/>
        <v>5</v>
      </c>
      <c r="T43" s="8">
        <f t="shared" si="6"/>
        <v>7</v>
      </c>
    </row>
    <row r="44" spans="1:20" ht="26.4" x14ac:dyDescent="0.3">
      <c r="A44" s="5" t="s">
        <v>324</v>
      </c>
      <c r="B44" s="5" t="s">
        <v>93</v>
      </c>
      <c r="C44" s="5" t="s">
        <v>34</v>
      </c>
      <c r="D44" s="5" t="s">
        <v>312</v>
      </c>
      <c r="E44" s="5">
        <v>3</v>
      </c>
      <c r="F44" s="5" t="s">
        <v>325</v>
      </c>
      <c r="G44" s="5" t="s">
        <v>326</v>
      </c>
      <c r="H44" s="5" t="s">
        <v>327</v>
      </c>
      <c r="I44" s="5" t="s">
        <v>328</v>
      </c>
      <c r="J44" s="5" t="s">
        <v>329</v>
      </c>
      <c r="K44" s="5" t="s">
        <v>330</v>
      </c>
      <c r="L44" s="5">
        <v>10</v>
      </c>
      <c r="M44" s="6">
        <f t="shared" si="0"/>
        <v>7</v>
      </c>
      <c r="N44" s="6" t="str">
        <f t="shared" si="1"/>
        <v>yes</v>
      </c>
      <c r="O44" s="7"/>
      <c r="P44" s="8">
        <f t="shared" si="2"/>
        <v>6</v>
      </c>
      <c r="Q44" s="8">
        <f t="shared" si="3"/>
        <v>6</v>
      </c>
      <c r="R44" s="8">
        <f t="shared" si="4"/>
        <v>6</v>
      </c>
      <c r="S44" s="8">
        <f t="shared" si="5"/>
        <v>7</v>
      </c>
      <c r="T44" s="8">
        <f t="shared" si="6"/>
        <v>7</v>
      </c>
    </row>
    <row r="45" spans="1:20" ht="26.4" x14ac:dyDescent="0.3">
      <c r="A45" s="5" t="s">
        <v>331</v>
      </c>
      <c r="B45" s="5" t="s">
        <v>93</v>
      </c>
      <c r="C45" s="5" t="s">
        <v>34</v>
      </c>
      <c r="D45" s="5" t="s">
        <v>312</v>
      </c>
      <c r="E45" s="5">
        <v>4</v>
      </c>
      <c r="F45" s="5" t="s">
        <v>332</v>
      </c>
      <c r="G45" s="5" t="s">
        <v>333</v>
      </c>
      <c r="H45" s="5" t="s">
        <v>334</v>
      </c>
      <c r="I45" s="5" t="s">
        <v>335</v>
      </c>
      <c r="J45" s="5" t="s">
        <v>336</v>
      </c>
      <c r="K45" s="5" t="s">
        <v>337</v>
      </c>
      <c r="L45" s="5">
        <v>10</v>
      </c>
      <c r="M45" s="6">
        <f t="shared" si="0"/>
        <v>7</v>
      </c>
      <c r="N45" s="6" t="str">
        <f t="shared" si="1"/>
        <v>yes</v>
      </c>
      <c r="O45" s="7"/>
      <c r="P45" s="8">
        <f t="shared" si="2"/>
        <v>6</v>
      </c>
      <c r="Q45" s="8">
        <f t="shared" si="3"/>
        <v>7</v>
      </c>
      <c r="R45" s="8">
        <f t="shared" si="4"/>
        <v>5</v>
      </c>
      <c r="S45" s="8">
        <f t="shared" si="5"/>
        <v>5</v>
      </c>
      <c r="T45" s="8">
        <f t="shared" si="6"/>
        <v>7</v>
      </c>
    </row>
    <row r="46" spans="1:20" ht="26.4" x14ac:dyDescent="0.3">
      <c r="A46" s="5" t="s">
        <v>338</v>
      </c>
      <c r="B46" s="5" t="s">
        <v>123</v>
      </c>
      <c r="C46" s="5" t="s">
        <v>34</v>
      </c>
      <c r="D46" s="5" t="s">
        <v>312</v>
      </c>
      <c r="E46" s="5">
        <v>1</v>
      </c>
      <c r="F46" s="5" t="s">
        <v>339</v>
      </c>
      <c r="G46" s="5" t="s">
        <v>340</v>
      </c>
      <c r="H46" s="5" t="s">
        <v>341</v>
      </c>
      <c r="I46" s="5" t="s">
        <v>342</v>
      </c>
      <c r="J46" s="5" t="s">
        <v>343</v>
      </c>
      <c r="K46" s="5" t="s">
        <v>344</v>
      </c>
      <c r="L46" s="5">
        <v>10</v>
      </c>
      <c r="M46" s="6">
        <f t="shared" si="0"/>
        <v>5</v>
      </c>
      <c r="N46" s="6" t="str">
        <f t="shared" si="1"/>
        <v>yes</v>
      </c>
      <c r="O46" s="7"/>
      <c r="P46" s="8">
        <f t="shared" si="2"/>
        <v>5</v>
      </c>
      <c r="Q46" s="8">
        <f t="shared" si="3"/>
        <v>5</v>
      </c>
      <c r="R46" s="8">
        <f t="shared" si="4"/>
        <v>5</v>
      </c>
      <c r="S46" s="8">
        <f t="shared" si="5"/>
        <v>5</v>
      </c>
      <c r="T46" s="8">
        <f t="shared" si="6"/>
        <v>5</v>
      </c>
    </row>
    <row r="47" spans="1:20" ht="26.4" x14ac:dyDescent="0.3">
      <c r="A47" s="5" t="s">
        <v>345</v>
      </c>
      <c r="B47" s="5" t="s">
        <v>123</v>
      </c>
      <c r="C47" s="5" t="s">
        <v>34</v>
      </c>
      <c r="D47" s="5" t="s">
        <v>312</v>
      </c>
      <c r="E47" s="5">
        <v>2</v>
      </c>
      <c r="F47" s="5" t="s">
        <v>346</v>
      </c>
      <c r="G47" s="5" t="s">
        <v>319</v>
      </c>
      <c r="H47" s="5" t="s">
        <v>347</v>
      </c>
      <c r="I47" s="5" t="s">
        <v>348</v>
      </c>
      <c r="J47" s="5" t="s">
        <v>349</v>
      </c>
      <c r="K47" s="5" t="s">
        <v>350</v>
      </c>
      <c r="L47" s="5">
        <v>10</v>
      </c>
      <c r="M47" s="6">
        <f t="shared" si="0"/>
        <v>6</v>
      </c>
      <c r="N47" s="6" t="str">
        <f t="shared" si="1"/>
        <v>yes</v>
      </c>
      <c r="O47" s="7"/>
      <c r="P47" s="8">
        <f t="shared" si="2"/>
        <v>5</v>
      </c>
      <c r="Q47" s="8">
        <f t="shared" si="3"/>
        <v>5</v>
      </c>
      <c r="R47" s="8">
        <f t="shared" si="4"/>
        <v>6</v>
      </c>
      <c r="S47" s="8">
        <f t="shared" si="5"/>
        <v>4</v>
      </c>
      <c r="T47" s="8">
        <f t="shared" si="6"/>
        <v>6</v>
      </c>
    </row>
    <row r="48" spans="1:20" ht="26.4" x14ac:dyDescent="0.3">
      <c r="A48" s="5" t="s">
        <v>351</v>
      </c>
      <c r="B48" s="5" t="s">
        <v>123</v>
      </c>
      <c r="C48" s="5" t="s">
        <v>34</v>
      </c>
      <c r="D48" s="5" t="s">
        <v>312</v>
      </c>
      <c r="E48" s="5">
        <v>3</v>
      </c>
      <c r="F48" s="5" t="s">
        <v>352</v>
      </c>
      <c r="G48" s="5" t="s">
        <v>326</v>
      </c>
      <c r="H48" s="5" t="s">
        <v>353</v>
      </c>
      <c r="I48" s="5" t="s">
        <v>328</v>
      </c>
      <c r="J48" s="5" t="s">
        <v>354</v>
      </c>
      <c r="K48" s="5" t="s">
        <v>330</v>
      </c>
      <c r="L48" s="5">
        <v>10</v>
      </c>
      <c r="M48" s="6">
        <f t="shared" si="0"/>
        <v>7</v>
      </c>
      <c r="N48" s="6" t="str">
        <f t="shared" si="1"/>
        <v>yes</v>
      </c>
      <c r="O48" s="7"/>
      <c r="P48" s="8">
        <f t="shared" si="2"/>
        <v>6</v>
      </c>
      <c r="Q48" s="8">
        <f t="shared" si="3"/>
        <v>6</v>
      </c>
      <c r="R48" s="8">
        <f t="shared" si="4"/>
        <v>6</v>
      </c>
      <c r="S48" s="8">
        <f t="shared" si="5"/>
        <v>4</v>
      </c>
      <c r="T48" s="8">
        <f t="shared" si="6"/>
        <v>7</v>
      </c>
    </row>
    <row r="49" spans="1:20" ht="26.4" x14ac:dyDescent="0.3">
      <c r="A49" s="5" t="s">
        <v>355</v>
      </c>
      <c r="B49" s="5" t="s">
        <v>123</v>
      </c>
      <c r="C49" s="5" t="s">
        <v>34</v>
      </c>
      <c r="D49" s="5" t="s">
        <v>312</v>
      </c>
      <c r="E49" s="5">
        <v>4</v>
      </c>
      <c r="F49" s="5" t="s">
        <v>332</v>
      </c>
      <c r="G49" s="5" t="s">
        <v>356</v>
      </c>
      <c r="H49" s="5" t="s">
        <v>357</v>
      </c>
      <c r="I49" s="5" t="s">
        <v>335</v>
      </c>
      <c r="J49" s="5" t="s">
        <v>336</v>
      </c>
      <c r="K49" s="5" t="s">
        <v>358</v>
      </c>
      <c r="L49" s="5">
        <v>10</v>
      </c>
      <c r="M49" s="6">
        <f t="shared" si="0"/>
        <v>5</v>
      </c>
      <c r="N49" s="6" t="str">
        <f t="shared" si="1"/>
        <v>yes</v>
      </c>
      <c r="O49" s="7"/>
      <c r="P49" s="8">
        <f t="shared" si="2"/>
        <v>5</v>
      </c>
      <c r="Q49" s="8">
        <f t="shared" si="3"/>
        <v>5</v>
      </c>
      <c r="R49" s="8">
        <f t="shared" si="4"/>
        <v>5</v>
      </c>
      <c r="S49" s="8">
        <f t="shared" si="5"/>
        <v>5</v>
      </c>
      <c r="T49" s="8">
        <f t="shared" si="6"/>
        <v>5</v>
      </c>
    </row>
    <row r="50" spans="1:20" ht="26.4" x14ac:dyDescent="0.3">
      <c r="A50" s="5" t="s">
        <v>359</v>
      </c>
      <c r="B50" s="5" t="s">
        <v>152</v>
      </c>
      <c r="C50" s="5" t="s">
        <v>34</v>
      </c>
      <c r="D50" s="5" t="s">
        <v>312</v>
      </c>
      <c r="E50" s="5">
        <v>1</v>
      </c>
      <c r="F50" s="5" t="s">
        <v>360</v>
      </c>
      <c r="G50" s="5" t="s">
        <v>361</v>
      </c>
      <c r="H50" s="5" t="s">
        <v>362</v>
      </c>
      <c r="I50" s="5" t="s">
        <v>363</v>
      </c>
      <c r="J50" s="5" t="s">
        <v>364</v>
      </c>
      <c r="K50" s="5" t="s">
        <v>365</v>
      </c>
      <c r="L50" s="5">
        <v>10</v>
      </c>
      <c r="M50" s="6">
        <f t="shared" si="0"/>
        <v>5</v>
      </c>
      <c r="N50" s="6" t="str">
        <f t="shared" si="1"/>
        <v>yes</v>
      </c>
      <c r="O50" s="7"/>
      <c r="P50" s="8">
        <f t="shared" si="2"/>
        <v>5</v>
      </c>
      <c r="Q50" s="8">
        <f t="shared" si="3"/>
        <v>4</v>
      </c>
      <c r="R50" s="8">
        <f t="shared" si="4"/>
        <v>5</v>
      </c>
      <c r="S50" s="8">
        <f t="shared" si="5"/>
        <v>4</v>
      </c>
      <c r="T50" s="8">
        <f t="shared" si="6"/>
        <v>4</v>
      </c>
    </row>
    <row r="51" spans="1:20" ht="26.4" x14ac:dyDescent="0.3">
      <c r="A51" s="5" t="s">
        <v>366</v>
      </c>
      <c r="B51" s="5" t="s">
        <v>152</v>
      </c>
      <c r="C51" s="5" t="s">
        <v>34</v>
      </c>
      <c r="D51" s="5" t="s">
        <v>312</v>
      </c>
      <c r="E51" s="5">
        <v>2</v>
      </c>
      <c r="F51" s="5" t="s">
        <v>367</v>
      </c>
      <c r="G51" s="5" t="s">
        <v>368</v>
      </c>
      <c r="H51" s="5" t="s">
        <v>369</v>
      </c>
      <c r="I51" s="5" t="s">
        <v>370</v>
      </c>
      <c r="J51" s="5" t="s">
        <v>371</v>
      </c>
      <c r="K51" s="5" t="s">
        <v>372</v>
      </c>
      <c r="L51" s="5">
        <v>10</v>
      </c>
      <c r="M51" s="6">
        <f t="shared" si="0"/>
        <v>7</v>
      </c>
      <c r="N51" s="6" t="str">
        <f t="shared" si="1"/>
        <v>yes</v>
      </c>
      <c r="O51" s="7"/>
      <c r="P51" s="8">
        <f t="shared" si="2"/>
        <v>6</v>
      </c>
      <c r="Q51" s="8">
        <f t="shared" si="3"/>
        <v>5</v>
      </c>
      <c r="R51" s="8">
        <f t="shared" si="4"/>
        <v>5</v>
      </c>
      <c r="S51" s="8">
        <f t="shared" si="5"/>
        <v>7</v>
      </c>
      <c r="T51" s="8">
        <f t="shared" si="6"/>
        <v>5</v>
      </c>
    </row>
    <row r="52" spans="1:20" ht="26.4" x14ac:dyDescent="0.3">
      <c r="A52" s="5" t="s">
        <v>373</v>
      </c>
      <c r="B52" s="5" t="s">
        <v>152</v>
      </c>
      <c r="C52" s="5" t="s">
        <v>34</v>
      </c>
      <c r="D52" s="5" t="s">
        <v>312</v>
      </c>
      <c r="E52" s="5">
        <v>3</v>
      </c>
      <c r="F52" s="5" t="s">
        <v>374</v>
      </c>
      <c r="G52" s="5" t="s">
        <v>375</v>
      </c>
      <c r="H52" s="5" t="s">
        <v>376</v>
      </c>
      <c r="I52" s="5" t="s">
        <v>377</v>
      </c>
      <c r="J52" s="5" t="s">
        <v>378</v>
      </c>
      <c r="K52" s="5" t="s">
        <v>379</v>
      </c>
      <c r="L52" s="5">
        <v>10</v>
      </c>
      <c r="M52" s="6">
        <f t="shared" si="0"/>
        <v>8</v>
      </c>
      <c r="N52" s="6" t="str">
        <f t="shared" si="1"/>
        <v>yes</v>
      </c>
      <c r="O52" s="7"/>
      <c r="P52" s="8">
        <f t="shared" si="2"/>
        <v>5</v>
      </c>
      <c r="Q52" s="8">
        <f t="shared" si="3"/>
        <v>4</v>
      </c>
      <c r="R52" s="8">
        <f t="shared" si="4"/>
        <v>5</v>
      </c>
      <c r="S52" s="8">
        <f t="shared" si="5"/>
        <v>6</v>
      </c>
      <c r="T52" s="8">
        <f t="shared" si="6"/>
        <v>8</v>
      </c>
    </row>
    <row r="53" spans="1:20" ht="26.4" x14ac:dyDescent="0.3">
      <c r="A53" s="5" t="s">
        <v>380</v>
      </c>
      <c r="B53" s="5" t="s">
        <v>152</v>
      </c>
      <c r="C53" s="5" t="s">
        <v>34</v>
      </c>
      <c r="D53" s="5" t="s">
        <v>312</v>
      </c>
      <c r="E53" s="5">
        <v>4</v>
      </c>
      <c r="F53" s="5" t="s">
        <v>381</v>
      </c>
      <c r="G53" s="5" t="s">
        <v>382</v>
      </c>
      <c r="H53" s="5" t="s">
        <v>383</v>
      </c>
      <c r="I53" s="5" t="s">
        <v>384</v>
      </c>
      <c r="J53" s="5" t="s">
        <v>385</v>
      </c>
      <c r="K53" s="5" t="s">
        <v>386</v>
      </c>
      <c r="L53" s="5">
        <v>10</v>
      </c>
      <c r="M53" s="6">
        <f t="shared" si="0"/>
        <v>6</v>
      </c>
      <c r="N53" s="6" t="str">
        <f t="shared" si="1"/>
        <v>yes</v>
      </c>
      <c r="O53" s="7"/>
      <c r="P53" s="8">
        <f t="shared" si="2"/>
        <v>5</v>
      </c>
      <c r="Q53" s="8">
        <f t="shared" si="3"/>
        <v>6</v>
      </c>
      <c r="R53" s="8">
        <f t="shared" si="4"/>
        <v>5</v>
      </c>
      <c r="S53" s="8">
        <f t="shared" si="5"/>
        <v>5</v>
      </c>
      <c r="T53" s="8">
        <f t="shared" si="6"/>
        <v>5</v>
      </c>
    </row>
    <row r="54" spans="1:20" ht="26.4" x14ac:dyDescent="0.3">
      <c r="A54" s="5" t="s">
        <v>387</v>
      </c>
      <c r="B54" s="5" t="s">
        <v>181</v>
      </c>
      <c r="C54" s="5" t="s">
        <v>34</v>
      </c>
      <c r="D54" s="5" t="s">
        <v>312</v>
      </c>
      <c r="E54" s="5">
        <v>1</v>
      </c>
      <c r="F54" s="5" t="s">
        <v>388</v>
      </c>
      <c r="G54" s="5" t="s">
        <v>389</v>
      </c>
      <c r="H54" s="5" t="s">
        <v>390</v>
      </c>
      <c r="I54" s="5" t="s">
        <v>391</v>
      </c>
      <c r="J54" s="5" t="s">
        <v>392</v>
      </c>
      <c r="K54" s="5" t="s">
        <v>393</v>
      </c>
      <c r="L54" s="5">
        <v>10</v>
      </c>
      <c r="M54" s="6">
        <f t="shared" si="0"/>
        <v>7</v>
      </c>
      <c r="N54" s="6" t="str">
        <f t="shared" si="1"/>
        <v>yes</v>
      </c>
      <c r="O54" s="7"/>
      <c r="P54" s="8">
        <f t="shared" si="2"/>
        <v>5</v>
      </c>
      <c r="Q54" s="8">
        <f t="shared" si="3"/>
        <v>4</v>
      </c>
      <c r="R54" s="8">
        <f t="shared" si="4"/>
        <v>4</v>
      </c>
      <c r="S54" s="8">
        <f t="shared" si="5"/>
        <v>7</v>
      </c>
      <c r="T54" s="8">
        <f t="shared" si="6"/>
        <v>6</v>
      </c>
    </row>
    <row r="55" spans="1:20" ht="26.4" x14ac:dyDescent="0.3">
      <c r="A55" s="5" t="s">
        <v>394</v>
      </c>
      <c r="B55" s="5" t="s">
        <v>181</v>
      </c>
      <c r="C55" s="5" t="s">
        <v>34</v>
      </c>
      <c r="D55" s="5" t="s">
        <v>312</v>
      </c>
      <c r="E55" s="5">
        <v>2</v>
      </c>
      <c r="F55" s="5" t="s">
        <v>395</v>
      </c>
      <c r="G55" s="5" t="s">
        <v>396</v>
      </c>
      <c r="H55" s="5" t="s">
        <v>397</v>
      </c>
      <c r="I55" s="5" t="s">
        <v>398</v>
      </c>
      <c r="J55" s="5" t="s">
        <v>399</v>
      </c>
      <c r="K55" s="5" t="s">
        <v>400</v>
      </c>
      <c r="L55" s="5">
        <v>10</v>
      </c>
      <c r="M55" s="6">
        <f t="shared" si="0"/>
        <v>8</v>
      </c>
      <c r="N55" s="6" t="str">
        <f t="shared" si="1"/>
        <v>yes</v>
      </c>
      <c r="O55" s="7"/>
      <c r="P55" s="8">
        <f t="shared" si="2"/>
        <v>6</v>
      </c>
      <c r="Q55" s="8">
        <f t="shared" si="3"/>
        <v>7</v>
      </c>
      <c r="R55" s="8">
        <f t="shared" si="4"/>
        <v>6</v>
      </c>
      <c r="S55" s="8">
        <f t="shared" si="5"/>
        <v>6</v>
      </c>
      <c r="T55" s="8">
        <f t="shared" si="6"/>
        <v>8</v>
      </c>
    </row>
    <row r="56" spans="1:20" ht="26.4" x14ac:dyDescent="0.3">
      <c r="A56" s="5" t="s">
        <v>401</v>
      </c>
      <c r="B56" s="5" t="s">
        <v>181</v>
      </c>
      <c r="C56" s="5" t="s">
        <v>34</v>
      </c>
      <c r="D56" s="5" t="s">
        <v>312</v>
      </c>
      <c r="E56" s="5">
        <v>3</v>
      </c>
      <c r="F56" s="5" t="s">
        <v>402</v>
      </c>
      <c r="G56" s="5" t="s">
        <v>403</v>
      </c>
      <c r="H56" s="5" t="s">
        <v>353</v>
      </c>
      <c r="I56" s="5" t="s">
        <v>170</v>
      </c>
      <c r="J56" s="5" t="s">
        <v>404</v>
      </c>
      <c r="K56" s="5" t="s">
        <v>405</v>
      </c>
      <c r="L56" s="5">
        <v>10</v>
      </c>
      <c r="M56" s="6">
        <f t="shared" si="0"/>
        <v>6</v>
      </c>
      <c r="N56" s="6" t="str">
        <f t="shared" si="1"/>
        <v>yes</v>
      </c>
      <c r="O56" s="7"/>
      <c r="P56" s="8">
        <f t="shared" si="2"/>
        <v>6</v>
      </c>
      <c r="Q56" s="8">
        <f t="shared" si="3"/>
        <v>6</v>
      </c>
      <c r="R56" s="8">
        <f t="shared" si="4"/>
        <v>4</v>
      </c>
      <c r="S56" s="8">
        <f t="shared" si="5"/>
        <v>5</v>
      </c>
      <c r="T56" s="8">
        <f t="shared" si="6"/>
        <v>5</v>
      </c>
    </row>
    <row r="57" spans="1:20" ht="26.4" x14ac:dyDescent="0.3">
      <c r="A57" s="5" t="s">
        <v>406</v>
      </c>
      <c r="B57" s="5" t="s">
        <v>181</v>
      </c>
      <c r="C57" s="5" t="s">
        <v>34</v>
      </c>
      <c r="D57" s="5" t="s">
        <v>312</v>
      </c>
      <c r="E57" s="5">
        <v>4</v>
      </c>
      <c r="F57" s="5" t="s">
        <v>407</v>
      </c>
      <c r="G57" s="5" t="s">
        <v>408</v>
      </c>
      <c r="H57" s="5" t="s">
        <v>409</v>
      </c>
      <c r="I57" s="5" t="s">
        <v>410</v>
      </c>
      <c r="J57" s="5" t="s">
        <v>411</v>
      </c>
      <c r="K57" s="5" t="s">
        <v>412</v>
      </c>
      <c r="L57" s="5">
        <v>10</v>
      </c>
      <c r="M57" s="6">
        <f t="shared" si="0"/>
        <v>8</v>
      </c>
      <c r="N57" s="6" t="str">
        <f t="shared" si="1"/>
        <v>yes</v>
      </c>
      <c r="O57" s="7"/>
      <c r="P57" s="8">
        <f t="shared" si="2"/>
        <v>6</v>
      </c>
      <c r="Q57" s="8">
        <f t="shared" si="3"/>
        <v>7</v>
      </c>
      <c r="R57" s="8">
        <f t="shared" si="4"/>
        <v>5</v>
      </c>
      <c r="S57" s="8">
        <f t="shared" si="5"/>
        <v>7</v>
      </c>
      <c r="T57" s="8">
        <f t="shared" si="6"/>
        <v>8</v>
      </c>
    </row>
    <row r="58" spans="1:20" ht="26.4" x14ac:dyDescent="0.3">
      <c r="A58" s="5" t="s">
        <v>413</v>
      </c>
      <c r="B58" s="5" t="s">
        <v>93</v>
      </c>
      <c r="C58" s="5" t="s">
        <v>34</v>
      </c>
      <c r="D58" s="5" t="s">
        <v>414</v>
      </c>
      <c r="E58" s="5">
        <v>1</v>
      </c>
      <c r="F58" s="5" t="s">
        <v>415</v>
      </c>
      <c r="G58" s="5" t="s">
        <v>416</v>
      </c>
      <c r="H58" s="5" t="s">
        <v>417</v>
      </c>
      <c r="I58" s="5" t="s">
        <v>418</v>
      </c>
      <c r="J58" s="5" t="s">
        <v>419</v>
      </c>
      <c r="K58" s="5" t="s">
        <v>420</v>
      </c>
      <c r="L58" s="5">
        <v>10</v>
      </c>
      <c r="M58" s="6">
        <f t="shared" si="0"/>
        <v>6</v>
      </c>
      <c r="N58" s="6" t="str">
        <f t="shared" si="1"/>
        <v>yes</v>
      </c>
      <c r="O58" s="7"/>
      <c r="P58" s="8">
        <f t="shared" si="2"/>
        <v>6</v>
      </c>
      <c r="Q58" s="8">
        <f t="shared" si="3"/>
        <v>6</v>
      </c>
      <c r="R58" s="8">
        <f t="shared" si="4"/>
        <v>6</v>
      </c>
      <c r="S58" s="8">
        <f t="shared" si="5"/>
        <v>6</v>
      </c>
      <c r="T58" s="8">
        <f t="shared" si="6"/>
        <v>6</v>
      </c>
    </row>
    <row r="59" spans="1:20" ht="26.4" x14ac:dyDescent="0.3">
      <c r="A59" s="5" t="s">
        <v>421</v>
      </c>
      <c r="B59" s="5" t="s">
        <v>93</v>
      </c>
      <c r="C59" s="5" t="s">
        <v>34</v>
      </c>
      <c r="D59" s="5" t="s">
        <v>414</v>
      </c>
      <c r="E59" s="5">
        <v>2</v>
      </c>
      <c r="F59" s="5" t="s">
        <v>422</v>
      </c>
      <c r="G59" s="5" t="s">
        <v>423</v>
      </c>
      <c r="H59" s="5" t="s">
        <v>424</v>
      </c>
      <c r="I59" s="5" t="s">
        <v>425</v>
      </c>
      <c r="J59" s="5" t="s">
        <v>426</v>
      </c>
      <c r="K59" s="5" t="s">
        <v>427</v>
      </c>
      <c r="L59" s="5">
        <v>10</v>
      </c>
      <c r="M59" s="6">
        <f t="shared" si="0"/>
        <v>8</v>
      </c>
      <c r="N59" s="6" t="str">
        <f t="shared" si="1"/>
        <v>yes</v>
      </c>
      <c r="O59" s="7"/>
      <c r="P59" s="8">
        <f t="shared" si="2"/>
        <v>7</v>
      </c>
      <c r="Q59" s="8">
        <f t="shared" si="3"/>
        <v>7</v>
      </c>
      <c r="R59" s="8">
        <f t="shared" si="4"/>
        <v>4</v>
      </c>
      <c r="S59" s="8">
        <f t="shared" si="5"/>
        <v>6</v>
      </c>
      <c r="T59" s="8">
        <f t="shared" si="6"/>
        <v>8</v>
      </c>
    </row>
    <row r="60" spans="1:20" ht="26.4" x14ac:dyDescent="0.3">
      <c r="A60" s="5" t="s">
        <v>428</v>
      </c>
      <c r="B60" s="5" t="s">
        <v>93</v>
      </c>
      <c r="C60" s="5" t="s">
        <v>34</v>
      </c>
      <c r="D60" s="5" t="s">
        <v>414</v>
      </c>
      <c r="E60" s="5">
        <v>3</v>
      </c>
      <c r="F60" s="5" t="s">
        <v>429</v>
      </c>
      <c r="G60" s="5" t="s">
        <v>430</v>
      </c>
      <c r="H60" s="5" t="s">
        <v>431</v>
      </c>
      <c r="I60" s="5" t="s">
        <v>46</v>
      </c>
      <c r="J60" s="5" t="s">
        <v>432</v>
      </c>
      <c r="K60" s="5" t="s">
        <v>433</v>
      </c>
      <c r="L60" s="5">
        <v>10</v>
      </c>
      <c r="M60" s="6">
        <f t="shared" si="0"/>
        <v>8</v>
      </c>
      <c r="N60" s="6" t="str">
        <f t="shared" si="1"/>
        <v>yes</v>
      </c>
      <c r="O60" s="7"/>
      <c r="P60" s="8">
        <f t="shared" si="2"/>
        <v>6</v>
      </c>
      <c r="Q60" s="8">
        <f t="shared" si="3"/>
        <v>6</v>
      </c>
      <c r="R60" s="8">
        <f t="shared" si="4"/>
        <v>5</v>
      </c>
      <c r="S60" s="8">
        <f t="shared" si="5"/>
        <v>6</v>
      </c>
      <c r="T60" s="8">
        <f t="shared" si="6"/>
        <v>8</v>
      </c>
    </row>
    <row r="61" spans="1:20" ht="26.4" x14ac:dyDescent="0.3">
      <c r="A61" s="5" t="s">
        <v>434</v>
      </c>
      <c r="B61" s="5" t="s">
        <v>93</v>
      </c>
      <c r="C61" s="5" t="s">
        <v>34</v>
      </c>
      <c r="D61" s="5" t="s">
        <v>414</v>
      </c>
      <c r="E61" s="5">
        <v>4</v>
      </c>
      <c r="F61" s="5" t="s">
        <v>435</v>
      </c>
      <c r="G61" s="5" t="s">
        <v>436</v>
      </c>
      <c r="H61" s="5" t="s">
        <v>437</v>
      </c>
      <c r="I61" s="5" t="s">
        <v>438</v>
      </c>
      <c r="J61" s="5" t="s">
        <v>439</v>
      </c>
      <c r="K61" s="5" t="s">
        <v>440</v>
      </c>
      <c r="L61" s="5">
        <v>10</v>
      </c>
      <c r="M61" s="6">
        <f t="shared" si="0"/>
        <v>6</v>
      </c>
      <c r="N61" s="6" t="str">
        <f t="shared" si="1"/>
        <v>yes</v>
      </c>
      <c r="O61" s="7"/>
      <c r="P61" s="8">
        <f t="shared" si="2"/>
        <v>6</v>
      </c>
      <c r="Q61" s="8">
        <f t="shared" si="3"/>
        <v>5</v>
      </c>
      <c r="R61" s="8">
        <f t="shared" si="4"/>
        <v>6</v>
      </c>
      <c r="S61" s="8">
        <f t="shared" si="5"/>
        <v>6</v>
      </c>
      <c r="T61" s="8">
        <f t="shared" si="6"/>
        <v>6</v>
      </c>
    </row>
    <row r="62" spans="1:20" ht="26.4" x14ac:dyDescent="0.3">
      <c r="A62" s="5" t="s">
        <v>441</v>
      </c>
      <c r="B62" s="5" t="s">
        <v>123</v>
      </c>
      <c r="C62" s="5" t="s">
        <v>34</v>
      </c>
      <c r="D62" s="5" t="s">
        <v>414</v>
      </c>
      <c r="E62" s="5">
        <v>1</v>
      </c>
      <c r="F62" s="5" t="s">
        <v>442</v>
      </c>
      <c r="G62" s="5" t="s">
        <v>443</v>
      </c>
      <c r="H62" s="5" t="s">
        <v>444</v>
      </c>
      <c r="I62" s="5" t="s">
        <v>445</v>
      </c>
      <c r="J62" s="5" t="s">
        <v>446</v>
      </c>
      <c r="K62" s="5" t="s">
        <v>447</v>
      </c>
      <c r="L62" s="5">
        <v>10</v>
      </c>
      <c r="M62" s="6">
        <f t="shared" si="0"/>
        <v>8</v>
      </c>
      <c r="N62" s="6" t="str">
        <f t="shared" si="1"/>
        <v>yes</v>
      </c>
      <c r="O62" s="7"/>
      <c r="P62" s="8">
        <f t="shared" si="2"/>
        <v>8</v>
      </c>
      <c r="Q62" s="8">
        <f t="shared" si="3"/>
        <v>8</v>
      </c>
      <c r="R62" s="8">
        <f t="shared" si="4"/>
        <v>8</v>
      </c>
      <c r="S62" s="8">
        <f t="shared" si="5"/>
        <v>6</v>
      </c>
      <c r="T62" s="8">
        <f t="shared" si="6"/>
        <v>7</v>
      </c>
    </row>
    <row r="63" spans="1:20" ht="26.4" x14ac:dyDescent="0.3">
      <c r="A63" s="5" t="s">
        <v>448</v>
      </c>
      <c r="B63" s="5" t="s">
        <v>123</v>
      </c>
      <c r="C63" s="5" t="s">
        <v>34</v>
      </c>
      <c r="D63" s="5" t="s">
        <v>414</v>
      </c>
      <c r="E63" s="5">
        <v>2</v>
      </c>
      <c r="F63" s="5" t="s">
        <v>449</v>
      </c>
      <c r="G63" s="5" t="s">
        <v>450</v>
      </c>
      <c r="H63" s="5" t="s">
        <v>451</v>
      </c>
      <c r="I63" s="5" t="s">
        <v>452</v>
      </c>
      <c r="J63" s="5" t="s">
        <v>453</v>
      </c>
      <c r="K63" s="5" t="s">
        <v>454</v>
      </c>
      <c r="L63" s="5">
        <v>10</v>
      </c>
      <c r="M63" s="6">
        <f t="shared" si="0"/>
        <v>8</v>
      </c>
      <c r="N63" s="6" t="str">
        <f t="shared" si="1"/>
        <v>yes</v>
      </c>
      <c r="O63" s="7"/>
      <c r="P63" s="8">
        <f t="shared" si="2"/>
        <v>8</v>
      </c>
      <c r="Q63" s="8">
        <f t="shared" si="3"/>
        <v>7</v>
      </c>
      <c r="R63" s="8">
        <f t="shared" si="4"/>
        <v>8</v>
      </c>
      <c r="S63" s="8">
        <f t="shared" si="5"/>
        <v>8</v>
      </c>
      <c r="T63" s="8">
        <f t="shared" si="6"/>
        <v>7</v>
      </c>
    </row>
    <row r="64" spans="1:20" ht="26.4" x14ac:dyDescent="0.3">
      <c r="A64" s="5" t="s">
        <v>455</v>
      </c>
      <c r="B64" s="5" t="s">
        <v>123</v>
      </c>
      <c r="C64" s="5" t="s">
        <v>34</v>
      </c>
      <c r="D64" s="5" t="s">
        <v>414</v>
      </c>
      <c r="E64" s="5">
        <v>3</v>
      </c>
      <c r="F64" s="5" t="s">
        <v>456</v>
      </c>
      <c r="G64" s="5" t="s">
        <v>457</v>
      </c>
      <c r="H64" s="5" t="s">
        <v>458</v>
      </c>
      <c r="I64" s="5" t="s">
        <v>459</v>
      </c>
      <c r="J64" s="5" t="s">
        <v>460</v>
      </c>
      <c r="K64" s="5" t="s">
        <v>461</v>
      </c>
      <c r="L64" s="5">
        <v>10</v>
      </c>
      <c r="M64" s="6">
        <f t="shared" si="0"/>
        <v>9</v>
      </c>
      <c r="N64" s="6" t="str">
        <f t="shared" si="1"/>
        <v>yes</v>
      </c>
      <c r="O64" s="7"/>
      <c r="P64" s="8">
        <f t="shared" si="2"/>
        <v>6</v>
      </c>
      <c r="Q64" s="8">
        <f t="shared" si="3"/>
        <v>7</v>
      </c>
      <c r="R64" s="8">
        <f t="shared" si="4"/>
        <v>7</v>
      </c>
      <c r="S64" s="8">
        <f t="shared" si="5"/>
        <v>7</v>
      </c>
      <c r="T64" s="8">
        <f t="shared" si="6"/>
        <v>9</v>
      </c>
    </row>
    <row r="65" spans="1:20" ht="26.4" x14ac:dyDescent="0.3">
      <c r="A65" s="5" t="s">
        <v>462</v>
      </c>
      <c r="B65" s="5" t="s">
        <v>123</v>
      </c>
      <c r="C65" s="5" t="s">
        <v>34</v>
      </c>
      <c r="D65" s="5" t="s">
        <v>414</v>
      </c>
      <c r="E65" s="5">
        <v>4</v>
      </c>
      <c r="F65" s="5" t="s">
        <v>463</v>
      </c>
      <c r="G65" s="5" t="s">
        <v>464</v>
      </c>
      <c r="H65" s="5" t="s">
        <v>465</v>
      </c>
      <c r="I65" s="5" t="s">
        <v>466</v>
      </c>
      <c r="J65" s="5" t="s">
        <v>467</v>
      </c>
      <c r="K65" s="5" t="s">
        <v>468</v>
      </c>
      <c r="L65" s="5">
        <v>10</v>
      </c>
      <c r="M65" s="6">
        <f t="shared" si="0"/>
        <v>8</v>
      </c>
      <c r="N65" s="6" t="str">
        <f t="shared" si="1"/>
        <v>yes</v>
      </c>
      <c r="O65" s="7"/>
      <c r="P65" s="8">
        <f t="shared" si="2"/>
        <v>8</v>
      </c>
      <c r="Q65" s="8">
        <f t="shared" si="3"/>
        <v>7</v>
      </c>
      <c r="R65" s="8">
        <f t="shared" si="4"/>
        <v>6</v>
      </c>
      <c r="S65" s="8">
        <f t="shared" si="5"/>
        <v>5</v>
      </c>
      <c r="T65" s="8">
        <f t="shared" si="6"/>
        <v>8</v>
      </c>
    </row>
    <row r="66" spans="1:20" ht="26.4" x14ac:dyDescent="0.3">
      <c r="A66" s="5" t="s">
        <v>469</v>
      </c>
      <c r="B66" s="5" t="s">
        <v>152</v>
      </c>
      <c r="C66" s="5" t="s">
        <v>34</v>
      </c>
      <c r="D66" s="5" t="s">
        <v>414</v>
      </c>
      <c r="E66" s="5">
        <v>1</v>
      </c>
      <c r="F66" s="5" t="s">
        <v>470</v>
      </c>
      <c r="G66" s="5" t="s">
        <v>471</v>
      </c>
      <c r="H66" s="5" t="s">
        <v>472</v>
      </c>
      <c r="I66" s="5" t="s">
        <v>473</v>
      </c>
      <c r="J66" s="5" t="s">
        <v>474</v>
      </c>
      <c r="K66" s="5" t="s">
        <v>475</v>
      </c>
      <c r="L66" s="5">
        <v>10</v>
      </c>
      <c r="M66" s="6">
        <f t="shared" ref="M66:M129" si="7">MAX(P66:T66)</f>
        <v>7</v>
      </c>
      <c r="N66" s="6" t="str">
        <f t="shared" ref="N66:N129" si="8">IF(M66&lt;=L66,"yes","OVER")</f>
        <v>yes</v>
      </c>
      <c r="O66" s="7"/>
      <c r="P66" s="8">
        <f t="shared" ref="P66:P129" si="9">IF(TRIM(G66)="",0,LEN(TRIM(G66))-LEN(SUBSTITUTE(TRIM(G66)," ",""))+1)</f>
        <v>6</v>
      </c>
      <c r="Q66" s="8">
        <f t="shared" ref="Q66:Q129" si="10">IF(TRIM(H66)="",0,LEN(TRIM(H66))-LEN(SUBSTITUTE(TRIM(H66)," ",""))+1)</f>
        <v>6</v>
      </c>
      <c r="R66" s="8">
        <f t="shared" ref="R66:R129" si="11">IF(TRIM(I66)="",0,LEN(TRIM(I66))-LEN(SUBSTITUTE(TRIM(I66)," ",""))+1)</f>
        <v>6</v>
      </c>
      <c r="S66" s="8">
        <f t="shared" ref="S66:S129" si="12">IF(TRIM(J66)="",0,LEN(TRIM(J66))-LEN(SUBSTITUTE(TRIM(J66)," ",""))+1)</f>
        <v>7</v>
      </c>
      <c r="T66" s="8">
        <f t="shared" ref="T66:T129" si="13">IF(TRIM(K66)="",0,LEN(TRIM(K66))-LEN(SUBSTITUTE(TRIM(K66)," ",""))+1)</f>
        <v>7</v>
      </c>
    </row>
    <row r="67" spans="1:20" ht="26.4" x14ac:dyDescent="0.3">
      <c r="A67" s="5" t="s">
        <v>476</v>
      </c>
      <c r="B67" s="5" t="s">
        <v>152</v>
      </c>
      <c r="C67" s="5" t="s">
        <v>34</v>
      </c>
      <c r="D67" s="5" t="s">
        <v>414</v>
      </c>
      <c r="E67" s="5">
        <v>2</v>
      </c>
      <c r="F67" s="5" t="s">
        <v>477</v>
      </c>
      <c r="G67" s="5" t="s">
        <v>478</v>
      </c>
      <c r="H67" s="5" t="s">
        <v>479</v>
      </c>
      <c r="I67" s="5" t="s">
        <v>480</v>
      </c>
      <c r="J67" s="5" t="s">
        <v>481</v>
      </c>
      <c r="K67" s="5" t="s">
        <v>482</v>
      </c>
      <c r="L67" s="5">
        <v>10</v>
      </c>
      <c r="M67" s="6">
        <f t="shared" si="7"/>
        <v>7</v>
      </c>
      <c r="N67" s="6" t="str">
        <f t="shared" si="8"/>
        <v>yes</v>
      </c>
      <c r="O67" s="7"/>
      <c r="P67" s="8">
        <f t="shared" si="9"/>
        <v>6</v>
      </c>
      <c r="Q67" s="8">
        <f t="shared" si="10"/>
        <v>7</v>
      </c>
      <c r="R67" s="8">
        <f t="shared" si="11"/>
        <v>5</v>
      </c>
      <c r="S67" s="8">
        <f t="shared" si="12"/>
        <v>7</v>
      </c>
      <c r="T67" s="8">
        <f t="shared" si="13"/>
        <v>7</v>
      </c>
    </row>
    <row r="68" spans="1:20" ht="26.4" x14ac:dyDescent="0.3">
      <c r="A68" s="5" t="s">
        <v>483</v>
      </c>
      <c r="B68" s="5" t="s">
        <v>152</v>
      </c>
      <c r="C68" s="5" t="s">
        <v>34</v>
      </c>
      <c r="D68" s="5" t="s">
        <v>414</v>
      </c>
      <c r="E68" s="5">
        <v>3</v>
      </c>
      <c r="F68" s="5" t="s">
        <v>484</v>
      </c>
      <c r="G68" s="5" t="s">
        <v>485</v>
      </c>
      <c r="H68" s="5" t="s">
        <v>486</v>
      </c>
      <c r="I68" s="5" t="s">
        <v>487</v>
      </c>
      <c r="J68" s="5" t="s">
        <v>488</v>
      </c>
      <c r="K68" s="5" t="s">
        <v>489</v>
      </c>
      <c r="L68" s="5">
        <v>10</v>
      </c>
      <c r="M68" s="6">
        <f t="shared" si="7"/>
        <v>7</v>
      </c>
      <c r="N68" s="6" t="str">
        <f t="shared" si="8"/>
        <v>yes</v>
      </c>
      <c r="O68" s="7"/>
      <c r="P68" s="8">
        <f t="shared" si="9"/>
        <v>6</v>
      </c>
      <c r="Q68" s="8">
        <f t="shared" si="10"/>
        <v>5</v>
      </c>
      <c r="R68" s="8">
        <f t="shared" si="11"/>
        <v>6</v>
      </c>
      <c r="S68" s="8">
        <f t="shared" si="12"/>
        <v>5</v>
      </c>
      <c r="T68" s="8">
        <f t="shared" si="13"/>
        <v>7</v>
      </c>
    </row>
    <row r="69" spans="1:20" ht="26.4" x14ac:dyDescent="0.3">
      <c r="A69" s="5" t="s">
        <v>490</v>
      </c>
      <c r="B69" s="5" t="s">
        <v>152</v>
      </c>
      <c r="C69" s="5" t="s">
        <v>34</v>
      </c>
      <c r="D69" s="5" t="s">
        <v>414</v>
      </c>
      <c r="E69" s="5">
        <v>4</v>
      </c>
      <c r="F69" s="5" t="s">
        <v>491</v>
      </c>
      <c r="G69" s="5" t="s">
        <v>492</v>
      </c>
      <c r="H69" s="5" t="s">
        <v>493</v>
      </c>
      <c r="I69" s="5" t="s">
        <v>494</v>
      </c>
      <c r="J69" s="5" t="s">
        <v>495</v>
      </c>
      <c r="K69" s="5" t="s">
        <v>496</v>
      </c>
      <c r="L69" s="5">
        <v>10</v>
      </c>
      <c r="M69" s="6">
        <f t="shared" si="7"/>
        <v>8</v>
      </c>
      <c r="N69" s="6" t="str">
        <f t="shared" si="8"/>
        <v>yes</v>
      </c>
      <c r="O69" s="7"/>
      <c r="P69" s="8">
        <f t="shared" si="9"/>
        <v>7</v>
      </c>
      <c r="Q69" s="8">
        <f t="shared" si="10"/>
        <v>5</v>
      </c>
      <c r="R69" s="8">
        <f t="shared" si="11"/>
        <v>6</v>
      </c>
      <c r="S69" s="8">
        <f t="shared" si="12"/>
        <v>6</v>
      </c>
      <c r="T69" s="8">
        <f t="shared" si="13"/>
        <v>8</v>
      </c>
    </row>
    <row r="70" spans="1:20" ht="26.4" x14ac:dyDescent="0.3">
      <c r="A70" s="5" t="s">
        <v>497</v>
      </c>
      <c r="B70" s="5" t="s">
        <v>181</v>
      </c>
      <c r="C70" s="5" t="s">
        <v>34</v>
      </c>
      <c r="D70" s="5" t="s">
        <v>414</v>
      </c>
      <c r="E70" s="5">
        <v>1</v>
      </c>
      <c r="F70" s="5" t="s">
        <v>498</v>
      </c>
      <c r="G70" s="5" t="s">
        <v>499</v>
      </c>
      <c r="H70" s="5" t="s">
        <v>500</v>
      </c>
      <c r="I70" s="5" t="s">
        <v>501</v>
      </c>
      <c r="J70" s="5" t="s">
        <v>502</v>
      </c>
      <c r="K70" s="5" t="s">
        <v>503</v>
      </c>
      <c r="L70" s="5">
        <v>10</v>
      </c>
      <c r="M70" s="6">
        <f t="shared" si="7"/>
        <v>8</v>
      </c>
      <c r="N70" s="6" t="str">
        <f t="shared" si="8"/>
        <v>yes</v>
      </c>
      <c r="O70" s="7"/>
      <c r="P70" s="8">
        <f t="shared" si="9"/>
        <v>6</v>
      </c>
      <c r="Q70" s="8">
        <f t="shared" si="10"/>
        <v>8</v>
      </c>
      <c r="R70" s="8">
        <f t="shared" si="11"/>
        <v>6</v>
      </c>
      <c r="S70" s="8">
        <f t="shared" si="12"/>
        <v>7</v>
      </c>
      <c r="T70" s="8">
        <f t="shared" si="13"/>
        <v>8</v>
      </c>
    </row>
    <row r="71" spans="1:20" ht="26.4" x14ac:dyDescent="0.3">
      <c r="A71" s="5" t="s">
        <v>504</v>
      </c>
      <c r="B71" s="5" t="s">
        <v>181</v>
      </c>
      <c r="C71" s="5" t="s">
        <v>34</v>
      </c>
      <c r="D71" s="5" t="s">
        <v>414</v>
      </c>
      <c r="E71" s="5">
        <v>2</v>
      </c>
      <c r="F71" s="5" t="s">
        <v>505</v>
      </c>
      <c r="G71" s="5" t="s">
        <v>506</v>
      </c>
      <c r="H71" s="5" t="s">
        <v>507</v>
      </c>
      <c r="I71" s="5" t="s">
        <v>508</v>
      </c>
      <c r="J71" s="5" t="s">
        <v>509</v>
      </c>
      <c r="K71" s="5" t="s">
        <v>510</v>
      </c>
      <c r="L71" s="5">
        <v>10</v>
      </c>
      <c r="M71" s="6">
        <f t="shared" si="7"/>
        <v>7</v>
      </c>
      <c r="N71" s="6" t="str">
        <f t="shared" si="8"/>
        <v>yes</v>
      </c>
      <c r="O71" s="7"/>
      <c r="P71" s="8">
        <f t="shared" si="9"/>
        <v>6</v>
      </c>
      <c r="Q71" s="8">
        <f t="shared" si="10"/>
        <v>6</v>
      </c>
      <c r="R71" s="8">
        <f t="shared" si="11"/>
        <v>7</v>
      </c>
      <c r="S71" s="8">
        <f t="shared" si="12"/>
        <v>6</v>
      </c>
      <c r="T71" s="8">
        <f t="shared" si="13"/>
        <v>5</v>
      </c>
    </row>
    <row r="72" spans="1:20" ht="26.4" x14ac:dyDescent="0.3">
      <c r="A72" s="5" t="s">
        <v>511</v>
      </c>
      <c r="B72" s="5" t="s">
        <v>181</v>
      </c>
      <c r="C72" s="5" t="s">
        <v>34</v>
      </c>
      <c r="D72" s="5" t="s">
        <v>414</v>
      </c>
      <c r="E72" s="5">
        <v>3</v>
      </c>
      <c r="F72" s="5" t="s">
        <v>512</v>
      </c>
      <c r="G72" s="5" t="s">
        <v>513</v>
      </c>
      <c r="H72" s="5" t="s">
        <v>514</v>
      </c>
      <c r="I72" s="5" t="s">
        <v>515</v>
      </c>
      <c r="J72" s="5" t="s">
        <v>516</v>
      </c>
      <c r="K72" s="5" t="s">
        <v>517</v>
      </c>
      <c r="L72" s="5">
        <v>10</v>
      </c>
      <c r="M72" s="6">
        <f t="shared" si="7"/>
        <v>7</v>
      </c>
      <c r="N72" s="6" t="str">
        <f t="shared" si="8"/>
        <v>yes</v>
      </c>
      <c r="O72" s="7"/>
      <c r="P72" s="8">
        <f t="shared" si="9"/>
        <v>7</v>
      </c>
      <c r="Q72" s="8">
        <f t="shared" si="10"/>
        <v>5</v>
      </c>
      <c r="R72" s="8">
        <f t="shared" si="11"/>
        <v>5</v>
      </c>
      <c r="S72" s="8">
        <f t="shared" si="12"/>
        <v>6</v>
      </c>
      <c r="T72" s="8">
        <f t="shared" si="13"/>
        <v>7</v>
      </c>
    </row>
    <row r="73" spans="1:20" ht="26.4" x14ac:dyDescent="0.3">
      <c r="A73" s="5" t="s">
        <v>518</v>
      </c>
      <c r="B73" s="5" t="s">
        <v>181</v>
      </c>
      <c r="C73" s="5" t="s">
        <v>34</v>
      </c>
      <c r="D73" s="5" t="s">
        <v>414</v>
      </c>
      <c r="E73" s="5">
        <v>4</v>
      </c>
      <c r="F73" s="5" t="s">
        <v>519</v>
      </c>
      <c r="G73" s="5" t="s">
        <v>520</v>
      </c>
      <c r="H73" s="5" t="s">
        <v>521</v>
      </c>
      <c r="I73" s="5" t="s">
        <v>522</v>
      </c>
      <c r="J73" s="5" t="s">
        <v>523</v>
      </c>
      <c r="K73" s="5" t="s">
        <v>524</v>
      </c>
      <c r="L73" s="5">
        <v>10</v>
      </c>
      <c r="M73" s="6">
        <f t="shared" si="7"/>
        <v>7</v>
      </c>
      <c r="N73" s="6" t="str">
        <f t="shared" si="8"/>
        <v>yes</v>
      </c>
      <c r="O73" s="7"/>
      <c r="P73" s="8">
        <f t="shared" si="9"/>
        <v>6</v>
      </c>
      <c r="Q73" s="8">
        <f t="shared" si="10"/>
        <v>6</v>
      </c>
      <c r="R73" s="8">
        <f t="shared" si="11"/>
        <v>5</v>
      </c>
      <c r="S73" s="8">
        <f t="shared" si="12"/>
        <v>6</v>
      </c>
      <c r="T73" s="8">
        <f t="shared" si="13"/>
        <v>7</v>
      </c>
    </row>
    <row r="74" spans="1:20" ht="26.4" x14ac:dyDescent="0.3">
      <c r="A74" s="5" t="s">
        <v>525</v>
      </c>
      <c r="B74" s="5" t="s">
        <v>33</v>
      </c>
      <c r="C74" s="5" t="s">
        <v>526</v>
      </c>
      <c r="D74" s="5" t="s">
        <v>527</v>
      </c>
      <c r="E74" s="5">
        <v>1</v>
      </c>
      <c r="F74" s="5" t="s">
        <v>528</v>
      </c>
      <c r="G74" s="5" t="s">
        <v>529</v>
      </c>
      <c r="H74" s="5" t="s">
        <v>530</v>
      </c>
      <c r="I74" s="5" t="s">
        <v>531</v>
      </c>
      <c r="J74" s="5" t="s">
        <v>532</v>
      </c>
      <c r="K74" s="5" t="s">
        <v>533</v>
      </c>
      <c r="L74" s="5">
        <v>10</v>
      </c>
      <c r="M74" s="6">
        <f t="shared" si="7"/>
        <v>7</v>
      </c>
      <c r="N74" s="6" t="str">
        <f t="shared" si="8"/>
        <v>yes</v>
      </c>
      <c r="O74" s="7"/>
      <c r="P74" s="8">
        <f t="shared" si="9"/>
        <v>7</v>
      </c>
      <c r="Q74" s="8">
        <f t="shared" si="10"/>
        <v>6</v>
      </c>
      <c r="R74" s="8">
        <f t="shared" si="11"/>
        <v>5</v>
      </c>
      <c r="S74" s="8">
        <f t="shared" si="12"/>
        <v>6</v>
      </c>
      <c r="T74" s="8">
        <f t="shared" si="13"/>
        <v>7</v>
      </c>
    </row>
    <row r="75" spans="1:20" ht="26.4" x14ac:dyDescent="0.3">
      <c r="A75" s="5" t="s">
        <v>534</v>
      </c>
      <c r="B75" s="5" t="s">
        <v>33</v>
      </c>
      <c r="C75" s="5" t="s">
        <v>526</v>
      </c>
      <c r="D75" s="5" t="s">
        <v>527</v>
      </c>
      <c r="E75" s="5">
        <v>2</v>
      </c>
      <c r="F75" s="5" t="s">
        <v>535</v>
      </c>
      <c r="G75" s="5" t="s">
        <v>536</v>
      </c>
      <c r="H75" s="5" t="s">
        <v>537</v>
      </c>
      <c r="I75" s="5" t="s">
        <v>538</v>
      </c>
      <c r="J75" s="5" t="s">
        <v>539</v>
      </c>
      <c r="K75" s="5" t="s">
        <v>540</v>
      </c>
      <c r="L75" s="5">
        <v>10</v>
      </c>
      <c r="M75" s="6">
        <f t="shared" si="7"/>
        <v>7</v>
      </c>
      <c r="N75" s="6" t="str">
        <f t="shared" si="8"/>
        <v>yes</v>
      </c>
      <c r="O75" s="7"/>
      <c r="P75" s="8">
        <f t="shared" si="9"/>
        <v>5</v>
      </c>
      <c r="Q75" s="8">
        <f t="shared" si="10"/>
        <v>6</v>
      </c>
      <c r="R75" s="8">
        <f t="shared" si="11"/>
        <v>5</v>
      </c>
      <c r="S75" s="8">
        <f t="shared" si="12"/>
        <v>7</v>
      </c>
      <c r="T75" s="8">
        <f t="shared" si="13"/>
        <v>6</v>
      </c>
    </row>
    <row r="76" spans="1:20" ht="26.4" x14ac:dyDescent="0.3">
      <c r="A76" s="5" t="s">
        <v>541</v>
      </c>
      <c r="B76" s="5" t="s">
        <v>33</v>
      </c>
      <c r="C76" s="5" t="s">
        <v>526</v>
      </c>
      <c r="D76" s="5" t="s">
        <v>527</v>
      </c>
      <c r="E76" s="5">
        <v>3</v>
      </c>
      <c r="F76" s="5" t="s">
        <v>542</v>
      </c>
      <c r="G76" s="5" t="s">
        <v>543</v>
      </c>
      <c r="H76" s="5" t="s">
        <v>544</v>
      </c>
      <c r="I76" s="5" t="s">
        <v>545</v>
      </c>
      <c r="J76" s="5" t="s">
        <v>546</v>
      </c>
      <c r="K76" s="5" t="s">
        <v>547</v>
      </c>
      <c r="L76" s="5">
        <v>10</v>
      </c>
      <c r="M76" s="6">
        <f t="shared" si="7"/>
        <v>7</v>
      </c>
      <c r="N76" s="6" t="str">
        <f t="shared" si="8"/>
        <v>yes</v>
      </c>
      <c r="O76" s="7"/>
      <c r="P76" s="8">
        <f t="shared" si="9"/>
        <v>7</v>
      </c>
      <c r="Q76" s="8">
        <f t="shared" si="10"/>
        <v>6</v>
      </c>
      <c r="R76" s="8">
        <f t="shared" si="11"/>
        <v>6</v>
      </c>
      <c r="S76" s="8">
        <f t="shared" si="12"/>
        <v>7</v>
      </c>
      <c r="T76" s="8">
        <f t="shared" si="13"/>
        <v>7</v>
      </c>
    </row>
    <row r="77" spans="1:20" ht="26.4" x14ac:dyDescent="0.3">
      <c r="A77" s="5" t="s">
        <v>548</v>
      </c>
      <c r="B77" s="5" t="s">
        <v>33</v>
      </c>
      <c r="C77" s="5" t="s">
        <v>526</v>
      </c>
      <c r="D77" s="5" t="s">
        <v>527</v>
      </c>
      <c r="E77" s="5">
        <v>4</v>
      </c>
      <c r="F77" s="5" t="s">
        <v>549</v>
      </c>
      <c r="G77" s="5" t="s">
        <v>550</v>
      </c>
      <c r="H77" s="5" t="s">
        <v>551</v>
      </c>
      <c r="I77" s="5" t="s">
        <v>552</v>
      </c>
      <c r="J77" s="5" t="s">
        <v>553</v>
      </c>
      <c r="K77" s="5" t="s">
        <v>554</v>
      </c>
      <c r="L77" s="5">
        <v>10</v>
      </c>
      <c r="M77" s="6">
        <f t="shared" si="7"/>
        <v>7</v>
      </c>
      <c r="N77" s="6" t="str">
        <f t="shared" si="8"/>
        <v>yes</v>
      </c>
      <c r="O77" s="7"/>
      <c r="P77" s="8">
        <f t="shared" si="9"/>
        <v>7</v>
      </c>
      <c r="Q77" s="8">
        <f t="shared" si="10"/>
        <v>6</v>
      </c>
      <c r="R77" s="8">
        <f t="shared" si="11"/>
        <v>6</v>
      </c>
      <c r="S77" s="8">
        <f t="shared" si="12"/>
        <v>5</v>
      </c>
      <c r="T77" s="8">
        <f t="shared" si="13"/>
        <v>7</v>
      </c>
    </row>
    <row r="78" spans="1:20" ht="26.4" x14ac:dyDescent="0.3">
      <c r="A78" s="5" t="s">
        <v>555</v>
      </c>
      <c r="B78" s="5" t="s">
        <v>64</v>
      </c>
      <c r="C78" s="5" t="s">
        <v>526</v>
      </c>
      <c r="D78" s="5" t="s">
        <v>527</v>
      </c>
      <c r="E78" s="5">
        <v>1</v>
      </c>
      <c r="F78" s="5" t="s">
        <v>556</v>
      </c>
      <c r="G78" s="5" t="s">
        <v>557</v>
      </c>
      <c r="H78" s="5" t="s">
        <v>558</v>
      </c>
      <c r="I78" s="5" t="s">
        <v>559</v>
      </c>
      <c r="J78" s="5" t="s">
        <v>560</v>
      </c>
      <c r="K78" s="5" t="s">
        <v>561</v>
      </c>
      <c r="L78" s="5">
        <v>10</v>
      </c>
      <c r="M78" s="6">
        <f t="shared" si="7"/>
        <v>7</v>
      </c>
      <c r="N78" s="6" t="str">
        <f t="shared" si="8"/>
        <v>yes</v>
      </c>
      <c r="O78" s="7"/>
      <c r="P78" s="8">
        <f t="shared" si="9"/>
        <v>7</v>
      </c>
      <c r="Q78" s="8">
        <f t="shared" si="10"/>
        <v>6</v>
      </c>
      <c r="R78" s="8">
        <f t="shared" si="11"/>
        <v>7</v>
      </c>
      <c r="S78" s="8">
        <f t="shared" si="12"/>
        <v>7</v>
      </c>
      <c r="T78" s="8">
        <f t="shared" si="13"/>
        <v>7</v>
      </c>
    </row>
    <row r="79" spans="1:20" ht="26.4" x14ac:dyDescent="0.3">
      <c r="A79" s="5" t="s">
        <v>562</v>
      </c>
      <c r="B79" s="5" t="s">
        <v>64</v>
      </c>
      <c r="C79" s="5" t="s">
        <v>526</v>
      </c>
      <c r="D79" s="5" t="s">
        <v>527</v>
      </c>
      <c r="E79" s="5">
        <v>2</v>
      </c>
      <c r="F79" s="5" t="s">
        <v>563</v>
      </c>
      <c r="G79" s="5" t="s">
        <v>564</v>
      </c>
      <c r="H79" s="5" t="s">
        <v>565</v>
      </c>
      <c r="I79" s="5" t="s">
        <v>566</v>
      </c>
      <c r="J79" s="5" t="s">
        <v>567</v>
      </c>
      <c r="K79" s="5" t="s">
        <v>568</v>
      </c>
      <c r="L79" s="5">
        <v>10</v>
      </c>
      <c r="M79" s="6">
        <f t="shared" si="7"/>
        <v>8</v>
      </c>
      <c r="N79" s="6" t="str">
        <f t="shared" si="8"/>
        <v>yes</v>
      </c>
      <c r="O79" s="7"/>
      <c r="P79" s="8">
        <f t="shared" si="9"/>
        <v>6</v>
      </c>
      <c r="Q79" s="8">
        <f t="shared" si="10"/>
        <v>5</v>
      </c>
      <c r="R79" s="8">
        <f t="shared" si="11"/>
        <v>7</v>
      </c>
      <c r="S79" s="8">
        <f t="shared" si="12"/>
        <v>7</v>
      </c>
      <c r="T79" s="8">
        <f t="shared" si="13"/>
        <v>8</v>
      </c>
    </row>
    <row r="80" spans="1:20" ht="26.4" x14ac:dyDescent="0.3">
      <c r="A80" s="5" t="s">
        <v>569</v>
      </c>
      <c r="B80" s="5" t="s">
        <v>64</v>
      </c>
      <c r="C80" s="5" t="s">
        <v>526</v>
      </c>
      <c r="D80" s="5" t="s">
        <v>527</v>
      </c>
      <c r="E80" s="5">
        <v>3</v>
      </c>
      <c r="F80" s="5" t="s">
        <v>570</v>
      </c>
      <c r="G80" s="5" t="s">
        <v>571</v>
      </c>
      <c r="H80" s="5" t="s">
        <v>572</v>
      </c>
      <c r="I80" s="5" t="s">
        <v>573</v>
      </c>
      <c r="J80" s="5" t="s">
        <v>574</v>
      </c>
      <c r="K80" s="5" t="s">
        <v>575</v>
      </c>
      <c r="L80" s="5">
        <v>10</v>
      </c>
      <c r="M80" s="6">
        <f t="shared" si="7"/>
        <v>8</v>
      </c>
      <c r="N80" s="6" t="str">
        <f t="shared" si="8"/>
        <v>yes</v>
      </c>
      <c r="O80" s="7"/>
      <c r="P80" s="8">
        <f t="shared" si="9"/>
        <v>6</v>
      </c>
      <c r="Q80" s="8">
        <f t="shared" si="10"/>
        <v>6</v>
      </c>
      <c r="R80" s="8">
        <f t="shared" si="11"/>
        <v>6</v>
      </c>
      <c r="S80" s="8">
        <f t="shared" si="12"/>
        <v>6</v>
      </c>
      <c r="T80" s="8">
        <f t="shared" si="13"/>
        <v>8</v>
      </c>
    </row>
    <row r="81" spans="1:20" ht="26.4" x14ac:dyDescent="0.3">
      <c r="A81" s="5" t="s">
        <v>576</v>
      </c>
      <c r="B81" s="5" t="s">
        <v>64</v>
      </c>
      <c r="C81" s="5" t="s">
        <v>526</v>
      </c>
      <c r="D81" s="5" t="s">
        <v>527</v>
      </c>
      <c r="E81" s="5">
        <v>4</v>
      </c>
      <c r="F81" s="5" t="s">
        <v>577</v>
      </c>
      <c r="G81" s="5" t="s">
        <v>578</v>
      </c>
      <c r="H81" s="5" t="s">
        <v>579</v>
      </c>
      <c r="I81" s="5" t="s">
        <v>580</v>
      </c>
      <c r="J81" s="5" t="s">
        <v>581</v>
      </c>
      <c r="K81" s="5" t="s">
        <v>582</v>
      </c>
      <c r="L81" s="5">
        <v>10</v>
      </c>
      <c r="M81" s="6">
        <f t="shared" si="7"/>
        <v>7</v>
      </c>
      <c r="N81" s="6" t="str">
        <f t="shared" si="8"/>
        <v>yes</v>
      </c>
      <c r="O81" s="7"/>
      <c r="P81" s="8">
        <f t="shared" si="9"/>
        <v>7</v>
      </c>
      <c r="Q81" s="8">
        <f t="shared" si="10"/>
        <v>7</v>
      </c>
      <c r="R81" s="8">
        <f t="shared" si="11"/>
        <v>6</v>
      </c>
      <c r="S81" s="8">
        <f t="shared" si="12"/>
        <v>5</v>
      </c>
      <c r="T81" s="8">
        <f t="shared" si="13"/>
        <v>6</v>
      </c>
    </row>
    <row r="82" spans="1:20" ht="26.4" x14ac:dyDescent="0.3">
      <c r="A82" s="5" t="s">
        <v>583</v>
      </c>
      <c r="B82" s="5" t="s">
        <v>93</v>
      </c>
      <c r="C82" s="5" t="s">
        <v>526</v>
      </c>
      <c r="D82" s="5" t="s">
        <v>527</v>
      </c>
      <c r="E82" s="5">
        <v>1</v>
      </c>
      <c r="F82" s="5" t="s">
        <v>584</v>
      </c>
      <c r="G82" s="5" t="s">
        <v>585</v>
      </c>
      <c r="H82" s="5" t="s">
        <v>586</v>
      </c>
      <c r="I82" s="5" t="s">
        <v>587</v>
      </c>
      <c r="J82" s="5" t="s">
        <v>588</v>
      </c>
      <c r="K82" s="5" t="s">
        <v>589</v>
      </c>
      <c r="L82" s="5">
        <v>10</v>
      </c>
      <c r="M82" s="6">
        <f t="shared" si="7"/>
        <v>7</v>
      </c>
      <c r="N82" s="6" t="str">
        <f t="shared" si="8"/>
        <v>yes</v>
      </c>
      <c r="O82" s="7"/>
      <c r="P82" s="8">
        <f t="shared" si="9"/>
        <v>6</v>
      </c>
      <c r="Q82" s="8">
        <f t="shared" si="10"/>
        <v>6</v>
      </c>
      <c r="R82" s="8">
        <f t="shared" si="11"/>
        <v>6</v>
      </c>
      <c r="S82" s="8">
        <f t="shared" si="12"/>
        <v>7</v>
      </c>
      <c r="T82" s="8">
        <f t="shared" si="13"/>
        <v>7</v>
      </c>
    </row>
    <row r="83" spans="1:20" ht="26.4" x14ac:dyDescent="0.3">
      <c r="A83" s="5" t="s">
        <v>590</v>
      </c>
      <c r="B83" s="5" t="s">
        <v>93</v>
      </c>
      <c r="C83" s="5" t="s">
        <v>526</v>
      </c>
      <c r="D83" s="5" t="s">
        <v>527</v>
      </c>
      <c r="E83" s="5">
        <v>2</v>
      </c>
      <c r="F83" s="5" t="s">
        <v>591</v>
      </c>
      <c r="G83" s="5" t="s">
        <v>592</v>
      </c>
      <c r="H83" s="5" t="s">
        <v>593</v>
      </c>
      <c r="I83" s="5" t="s">
        <v>594</v>
      </c>
      <c r="J83" s="5" t="s">
        <v>595</v>
      </c>
      <c r="K83" s="5" t="s">
        <v>596</v>
      </c>
      <c r="L83" s="5">
        <v>10</v>
      </c>
      <c r="M83" s="6">
        <f t="shared" si="7"/>
        <v>7</v>
      </c>
      <c r="N83" s="6" t="str">
        <f t="shared" si="8"/>
        <v>yes</v>
      </c>
      <c r="O83" s="7"/>
      <c r="P83" s="8">
        <f t="shared" si="9"/>
        <v>7</v>
      </c>
      <c r="Q83" s="8">
        <f t="shared" si="10"/>
        <v>7</v>
      </c>
      <c r="R83" s="8">
        <f t="shared" si="11"/>
        <v>5</v>
      </c>
      <c r="S83" s="8">
        <f t="shared" si="12"/>
        <v>4</v>
      </c>
      <c r="T83" s="8">
        <f t="shared" si="13"/>
        <v>7</v>
      </c>
    </row>
    <row r="84" spans="1:20" ht="26.4" x14ac:dyDescent="0.3">
      <c r="A84" s="5" t="s">
        <v>597</v>
      </c>
      <c r="B84" s="5" t="s">
        <v>93</v>
      </c>
      <c r="C84" s="5" t="s">
        <v>526</v>
      </c>
      <c r="D84" s="5" t="s">
        <v>527</v>
      </c>
      <c r="E84" s="5">
        <v>3</v>
      </c>
      <c r="F84" s="5" t="s">
        <v>598</v>
      </c>
      <c r="G84" s="5" t="s">
        <v>599</v>
      </c>
      <c r="H84" s="5" t="s">
        <v>600</v>
      </c>
      <c r="I84" s="5" t="s">
        <v>601</v>
      </c>
      <c r="J84" s="5" t="s">
        <v>602</v>
      </c>
      <c r="K84" s="5" t="s">
        <v>603</v>
      </c>
      <c r="L84" s="5">
        <v>10</v>
      </c>
      <c r="M84" s="6">
        <f t="shared" si="7"/>
        <v>7</v>
      </c>
      <c r="N84" s="6" t="str">
        <f t="shared" si="8"/>
        <v>yes</v>
      </c>
      <c r="O84" s="7"/>
      <c r="P84" s="8">
        <f t="shared" si="9"/>
        <v>6</v>
      </c>
      <c r="Q84" s="8">
        <f t="shared" si="10"/>
        <v>6</v>
      </c>
      <c r="R84" s="8">
        <f t="shared" si="11"/>
        <v>6</v>
      </c>
      <c r="S84" s="8">
        <f t="shared" si="12"/>
        <v>5</v>
      </c>
      <c r="T84" s="8">
        <f t="shared" si="13"/>
        <v>7</v>
      </c>
    </row>
    <row r="85" spans="1:20" ht="26.4" x14ac:dyDescent="0.3">
      <c r="A85" s="5" t="s">
        <v>604</v>
      </c>
      <c r="B85" s="5" t="s">
        <v>93</v>
      </c>
      <c r="C85" s="5" t="s">
        <v>526</v>
      </c>
      <c r="D85" s="5" t="s">
        <v>527</v>
      </c>
      <c r="E85" s="5">
        <v>4</v>
      </c>
      <c r="F85" s="5" t="s">
        <v>605</v>
      </c>
      <c r="G85" s="5" t="s">
        <v>606</v>
      </c>
      <c r="H85" s="5" t="s">
        <v>607</v>
      </c>
      <c r="I85" s="5" t="s">
        <v>608</v>
      </c>
      <c r="J85" s="5" t="s">
        <v>609</v>
      </c>
      <c r="K85" s="5" t="s">
        <v>610</v>
      </c>
      <c r="L85" s="5">
        <v>10</v>
      </c>
      <c r="M85" s="6">
        <f t="shared" si="7"/>
        <v>6</v>
      </c>
      <c r="N85" s="6" t="str">
        <f t="shared" si="8"/>
        <v>yes</v>
      </c>
      <c r="O85" s="7"/>
      <c r="P85" s="8">
        <f t="shared" si="9"/>
        <v>5</v>
      </c>
      <c r="Q85" s="8">
        <f t="shared" si="10"/>
        <v>6</v>
      </c>
      <c r="R85" s="8">
        <f t="shared" si="11"/>
        <v>5</v>
      </c>
      <c r="S85" s="8">
        <f t="shared" si="12"/>
        <v>5</v>
      </c>
      <c r="T85" s="8">
        <f t="shared" si="13"/>
        <v>6</v>
      </c>
    </row>
    <row r="86" spans="1:20" ht="26.4" x14ac:dyDescent="0.3">
      <c r="A86" s="5" t="s">
        <v>611</v>
      </c>
      <c r="B86" s="5" t="s">
        <v>123</v>
      </c>
      <c r="C86" s="5" t="s">
        <v>526</v>
      </c>
      <c r="D86" s="5" t="s">
        <v>527</v>
      </c>
      <c r="E86" s="5">
        <v>1</v>
      </c>
      <c r="F86" s="5" t="s">
        <v>612</v>
      </c>
      <c r="G86" s="5" t="s">
        <v>613</v>
      </c>
      <c r="H86" s="5" t="s">
        <v>614</v>
      </c>
      <c r="I86" s="5" t="s">
        <v>615</v>
      </c>
      <c r="J86" s="5" t="s">
        <v>616</v>
      </c>
      <c r="K86" s="5" t="s">
        <v>617</v>
      </c>
      <c r="L86" s="5">
        <v>10</v>
      </c>
      <c r="M86" s="6">
        <f t="shared" si="7"/>
        <v>7</v>
      </c>
      <c r="N86" s="6" t="str">
        <f t="shared" si="8"/>
        <v>yes</v>
      </c>
      <c r="O86" s="7"/>
      <c r="P86" s="8">
        <f t="shared" si="9"/>
        <v>6</v>
      </c>
      <c r="Q86" s="8">
        <f t="shared" si="10"/>
        <v>6</v>
      </c>
      <c r="R86" s="8">
        <f t="shared" si="11"/>
        <v>6</v>
      </c>
      <c r="S86" s="8">
        <f t="shared" si="12"/>
        <v>7</v>
      </c>
      <c r="T86" s="8">
        <f t="shared" si="13"/>
        <v>6</v>
      </c>
    </row>
    <row r="87" spans="1:20" ht="26.4" x14ac:dyDescent="0.3">
      <c r="A87" s="5" t="s">
        <v>618</v>
      </c>
      <c r="B87" s="5" t="s">
        <v>123</v>
      </c>
      <c r="C87" s="5" t="s">
        <v>526</v>
      </c>
      <c r="D87" s="5" t="s">
        <v>527</v>
      </c>
      <c r="E87" s="5">
        <v>2</v>
      </c>
      <c r="F87" s="5" t="s">
        <v>619</v>
      </c>
      <c r="G87" s="5" t="s">
        <v>620</v>
      </c>
      <c r="H87" s="5" t="s">
        <v>621</v>
      </c>
      <c r="I87" s="5" t="s">
        <v>622</v>
      </c>
      <c r="J87" s="5" t="s">
        <v>623</v>
      </c>
      <c r="K87" s="5" t="s">
        <v>624</v>
      </c>
      <c r="L87" s="5">
        <v>10</v>
      </c>
      <c r="M87" s="6">
        <f t="shared" si="7"/>
        <v>7</v>
      </c>
      <c r="N87" s="6" t="str">
        <f t="shared" si="8"/>
        <v>yes</v>
      </c>
      <c r="O87" s="7"/>
      <c r="P87" s="8">
        <f t="shared" si="9"/>
        <v>5</v>
      </c>
      <c r="Q87" s="8">
        <f t="shared" si="10"/>
        <v>7</v>
      </c>
      <c r="R87" s="8">
        <f t="shared" si="11"/>
        <v>6</v>
      </c>
      <c r="S87" s="8">
        <f t="shared" si="12"/>
        <v>7</v>
      </c>
      <c r="T87" s="8">
        <f t="shared" si="13"/>
        <v>7</v>
      </c>
    </row>
    <row r="88" spans="1:20" ht="26.4" x14ac:dyDescent="0.3">
      <c r="A88" s="5" t="s">
        <v>625</v>
      </c>
      <c r="B88" s="5" t="s">
        <v>123</v>
      </c>
      <c r="C88" s="5" t="s">
        <v>526</v>
      </c>
      <c r="D88" s="5" t="s">
        <v>527</v>
      </c>
      <c r="E88" s="5">
        <v>3</v>
      </c>
      <c r="F88" s="5" t="s">
        <v>626</v>
      </c>
      <c r="G88" s="5" t="s">
        <v>627</v>
      </c>
      <c r="H88" s="5" t="s">
        <v>628</v>
      </c>
      <c r="I88" s="5" t="s">
        <v>629</v>
      </c>
      <c r="J88" s="5" t="s">
        <v>630</v>
      </c>
      <c r="K88" s="5" t="s">
        <v>631</v>
      </c>
      <c r="L88" s="5">
        <v>10</v>
      </c>
      <c r="M88" s="6">
        <f t="shared" si="7"/>
        <v>7</v>
      </c>
      <c r="N88" s="6" t="str">
        <f t="shared" si="8"/>
        <v>yes</v>
      </c>
      <c r="O88" s="7"/>
      <c r="P88" s="8">
        <f t="shared" si="9"/>
        <v>7</v>
      </c>
      <c r="Q88" s="8">
        <f t="shared" si="10"/>
        <v>6</v>
      </c>
      <c r="R88" s="8">
        <f t="shared" si="11"/>
        <v>5</v>
      </c>
      <c r="S88" s="8">
        <f t="shared" si="12"/>
        <v>6</v>
      </c>
      <c r="T88" s="8">
        <f t="shared" si="13"/>
        <v>6</v>
      </c>
    </row>
    <row r="89" spans="1:20" ht="26.4" x14ac:dyDescent="0.3">
      <c r="A89" s="5" t="s">
        <v>632</v>
      </c>
      <c r="B89" s="5" t="s">
        <v>123</v>
      </c>
      <c r="C89" s="5" t="s">
        <v>526</v>
      </c>
      <c r="D89" s="5" t="s">
        <v>527</v>
      </c>
      <c r="E89" s="5">
        <v>4</v>
      </c>
      <c r="F89" s="5" t="s">
        <v>633</v>
      </c>
      <c r="G89" s="5" t="s">
        <v>634</v>
      </c>
      <c r="H89" s="5" t="s">
        <v>635</v>
      </c>
      <c r="I89" s="5" t="s">
        <v>636</v>
      </c>
      <c r="J89" s="5" t="s">
        <v>637</v>
      </c>
      <c r="K89" s="5" t="s">
        <v>638</v>
      </c>
      <c r="L89" s="5">
        <v>10</v>
      </c>
      <c r="M89" s="6">
        <f t="shared" si="7"/>
        <v>6</v>
      </c>
      <c r="N89" s="6" t="str">
        <f t="shared" si="8"/>
        <v>yes</v>
      </c>
      <c r="O89" s="7"/>
      <c r="P89" s="8">
        <f t="shared" si="9"/>
        <v>6</v>
      </c>
      <c r="Q89" s="8">
        <f t="shared" si="10"/>
        <v>5</v>
      </c>
      <c r="R89" s="8">
        <f t="shared" si="11"/>
        <v>6</v>
      </c>
      <c r="S89" s="8">
        <f t="shared" si="12"/>
        <v>6</v>
      </c>
      <c r="T89" s="8">
        <f t="shared" si="13"/>
        <v>6</v>
      </c>
    </row>
    <row r="90" spans="1:20" ht="26.4" x14ac:dyDescent="0.3">
      <c r="A90" s="5" t="s">
        <v>639</v>
      </c>
      <c r="B90" s="5" t="s">
        <v>152</v>
      </c>
      <c r="C90" s="5" t="s">
        <v>526</v>
      </c>
      <c r="D90" s="5" t="s">
        <v>527</v>
      </c>
      <c r="E90" s="5">
        <v>1</v>
      </c>
      <c r="F90" s="5" t="s">
        <v>640</v>
      </c>
      <c r="G90" s="5" t="s">
        <v>641</v>
      </c>
      <c r="H90" s="5" t="s">
        <v>642</v>
      </c>
      <c r="I90" s="5" t="s">
        <v>643</v>
      </c>
      <c r="J90" s="5" t="s">
        <v>644</v>
      </c>
      <c r="K90" s="5" t="s">
        <v>645</v>
      </c>
      <c r="L90" s="5">
        <v>10</v>
      </c>
      <c r="M90" s="6">
        <f t="shared" si="7"/>
        <v>7</v>
      </c>
      <c r="N90" s="6" t="str">
        <f t="shared" si="8"/>
        <v>yes</v>
      </c>
      <c r="O90" s="7"/>
      <c r="P90" s="8">
        <f t="shared" si="9"/>
        <v>6</v>
      </c>
      <c r="Q90" s="8">
        <f t="shared" si="10"/>
        <v>6</v>
      </c>
      <c r="R90" s="8">
        <f t="shared" si="11"/>
        <v>6</v>
      </c>
      <c r="S90" s="8">
        <f t="shared" si="12"/>
        <v>7</v>
      </c>
      <c r="T90" s="8">
        <f t="shared" si="13"/>
        <v>7</v>
      </c>
    </row>
    <row r="91" spans="1:20" ht="26.4" x14ac:dyDescent="0.3">
      <c r="A91" s="5" t="s">
        <v>646</v>
      </c>
      <c r="B91" s="5" t="s">
        <v>152</v>
      </c>
      <c r="C91" s="5" t="s">
        <v>526</v>
      </c>
      <c r="D91" s="5" t="s">
        <v>527</v>
      </c>
      <c r="E91" s="5">
        <v>2</v>
      </c>
      <c r="F91" s="5" t="s">
        <v>647</v>
      </c>
      <c r="G91" s="5" t="s">
        <v>648</v>
      </c>
      <c r="H91" s="5" t="s">
        <v>649</v>
      </c>
      <c r="I91" s="5" t="s">
        <v>650</v>
      </c>
      <c r="J91" s="5" t="s">
        <v>651</v>
      </c>
      <c r="K91" s="5" t="s">
        <v>652</v>
      </c>
      <c r="L91" s="5">
        <v>10</v>
      </c>
      <c r="M91" s="6">
        <f t="shared" si="7"/>
        <v>7</v>
      </c>
      <c r="N91" s="6" t="str">
        <f t="shared" si="8"/>
        <v>yes</v>
      </c>
      <c r="O91" s="7"/>
      <c r="P91" s="8">
        <f t="shared" si="9"/>
        <v>7</v>
      </c>
      <c r="Q91" s="8">
        <f t="shared" si="10"/>
        <v>6</v>
      </c>
      <c r="R91" s="8">
        <f t="shared" si="11"/>
        <v>5</v>
      </c>
      <c r="S91" s="8">
        <f t="shared" si="12"/>
        <v>5</v>
      </c>
      <c r="T91" s="8">
        <f t="shared" si="13"/>
        <v>6</v>
      </c>
    </row>
    <row r="92" spans="1:20" ht="26.4" x14ac:dyDescent="0.3">
      <c r="A92" s="5" t="s">
        <v>653</v>
      </c>
      <c r="B92" s="5" t="s">
        <v>152</v>
      </c>
      <c r="C92" s="5" t="s">
        <v>526</v>
      </c>
      <c r="D92" s="5" t="s">
        <v>527</v>
      </c>
      <c r="E92" s="5">
        <v>3</v>
      </c>
      <c r="F92" s="5" t="s">
        <v>654</v>
      </c>
      <c r="G92" s="5" t="s">
        <v>655</v>
      </c>
      <c r="H92" s="5" t="s">
        <v>656</v>
      </c>
      <c r="I92" s="5" t="s">
        <v>657</v>
      </c>
      <c r="J92" s="5" t="s">
        <v>658</v>
      </c>
      <c r="K92" s="5" t="s">
        <v>659</v>
      </c>
      <c r="L92" s="5">
        <v>10</v>
      </c>
      <c r="M92" s="6">
        <f t="shared" si="7"/>
        <v>6</v>
      </c>
      <c r="N92" s="6" t="str">
        <f t="shared" si="8"/>
        <v>yes</v>
      </c>
      <c r="O92" s="7"/>
      <c r="P92" s="8">
        <f t="shared" si="9"/>
        <v>6</v>
      </c>
      <c r="Q92" s="8">
        <f t="shared" si="10"/>
        <v>6</v>
      </c>
      <c r="R92" s="8">
        <f t="shared" si="11"/>
        <v>5</v>
      </c>
      <c r="S92" s="8">
        <f t="shared" si="12"/>
        <v>6</v>
      </c>
      <c r="T92" s="8">
        <f t="shared" si="13"/>
        <v>5</v>
      </c>
    </row>
    <row r="93" spans="1:20" ht="26.4" x14ac:dyDescent="0.3">
      <c r="A93" s="5" t="s">
        <v>660</v>
      </c>
      <c r="B93" s="5" t="s">
        <v>152</v>
      </c>
      <c r="C93" s="5" t="s">
        <v>526</v>
      </c>
      <c r="D93" s="5" t="s">
        <v>527</v>
      </c>
      <c r="E93" s="5">
        <v>4</v>
      </c>
      <c r="F93" s="5" t="s">
        <v>661</v>
      </c>
      <c r="G93" s="5" t="s">
        <v>662</v>
      </c>
      <c r="H93" s="5" t="s">
        <v>663</v>
      </c>
      <c r="I93" s="5" t="s">
        <v>664</v>
      </c>
      <c r="J93" s="5" t="s">
        <v>665</v>
      </c>
      <c r="K93" s="5" t="s">
        <v>666</v>
      </c>
      <c r="L93" s="5">
        <v>10</v>
      </c>
      <c r="M93" s="6">
        <f t="shared" si="7"/>
        <v>7</v>
      </c>
      <c r="N93" s="6" t="str">
        <f t="shared" si="8"/>
        <v>yes</v>
      </c>
      <c r="O93" s="7"/>
      <c r="P93" s="8">
        <f t="shared" si="9"/>
        <v>5</v>
      </c>
      <c r="Q93" s="8">
        <f t="shared" si="10"/>
        <v>7</v>
      </c>
      <c r="R93" s="8">
        <f t="shared" si="11"/>
        <v>7</v>
      </c>
      <c r="S93" s="8">
        <f t="shared" si="12"/>
        <v>5</v>
      </c>
      <c r="T93" s="8">
        <f t="shared" si="13"/>
        <v>6</v>
      </c>
    </row>
    <row r="94" spans="1:20" ht="26.4" x14ac:dyDescent="0.3">
      <c r="A94" s="5" t="s">
        <v>667</v>
      </c>
      <c r="B94" s="5" t="s">
        <v>181</v>
      </c>
      <c r="C94" s="5" t="s">
        <v>526</v>
      </c>
      <c r="D94" s="5" t="s">
        <v>527</v>
      </c>
      <c r="E94" s="5">
        <v>1</v>
      </c>
      <c r="F94" s="5" t="s">
        <v>668</v>
      </c>
      <c r="G94" s="5" t="s">
        <v>669</v>
      </c>
      <c r="H94" s="5" t="s">
        <v>670</v>
      </c>
      <c r="I94" s="5" t="s">
        <v>671</v>
      </c>
      <c r="J94" s="5" t="s">
        <v>672</v>
      </c>
      <c r="K94" s="5" t="s">
        <v>673</v>
      </c>
      <c r="L94" s="5">
        <v>10</v>
      </c>
      <c r="M94" s="6">
        <f t="shared" si="7"/>
        <v>8</v>
      </c>
      <c r="N94" s="6" t="str">
        <f t="shared" si="8"/>
        <v>yes</v>
      </c>
      <c r="O94" s="7"/>
      <c r="P94" s="8">
        <f t="shared" si="9"/>
        <v>7</v>
      </c>
      <c r="Q94" s="8">
        <f t="shared" si="10"/>
        <v>6</v>
      </c>
      <c r="R94" s="8">
        <f t="shared" si="11"/>
        <v>7</v>
      </c>
      <c r="S94" s="8">
        <f t="shared" si="12"/>
        <v>6</v>
      </c>
      <c r="T94" s="8">
        <f t="shared" si="13"/>
        <v>8</v>
      </c>
    </row>
    <row r="95" spans="1:20" ht="26.4" x14ac:dyDescent="0.3">
      <c r="A95" s="5" t="s">
        <v>674</v>
      </c>
      <c r="B95" s="5" t="s">
        <v>181</v>
      </c>
      <c r="C95" s="5" t="s">
        <v>526</v>
      </c>
      <c r="D95" s="5" t="s">
        <v>527</v>
      </c>
      <c r="E95" s="5">
        <v>2</v>
      </c>
      <c r="F95" s="5" t="s">
        <v>675</v>
      </c>
      <c r="G95" s="5" t="s">
        <v>676</v>
      </c>
      <c r="H95" s="5" t="s">
        <v>677</v>
      </c>
      <c r="I95" s="5" t="s">
        <v>678</v>
      </c>
      <c r="J95" s="5" t="s">
        <v>679</v>
      </c>
      <c r="K95" s="5" t="s">
        <v>680</v>
      </c>
      <c r="L95" s="5">
        <v>10</v>
      </c>
      <c r="M95" s="6">
        <f t="shared" si="7"/>
        <v>7</v>
      </c>
      <c r="N95" s="6" t="str">
        <f t="shared" si="8"/>
        <v>yes</v>
      </c>
      <c r="O95" s="7"/>
      <c r="P95" s="8">
        <f t="shared" si="9"/>
        <v>7</v>
      </c>
      <c r="Q95" s="8">
        <f t="shared" si="10"/>
        <v>6</v>
      </c>
      <c r="R95" s="8">
        <f t="shared" si="11"/>
        <v>7</v>
      </c>
      <c r="S95" s="8">
        <f t="shared" si="12"/>
        <v>6</v>
      </c>
      <c r="T95" s="8">
        <f t="shared" si="13"/>
        <v>7</v>
      </c>
    </row>
    <row r="96" spans="1:20" ht="26.4" x14ac:dyDescent="0.3">
      <c r="A96" s="5" t="s">
        <v>681</v>
      </c>
      <c r="B96" s="5" t="s">
        <v>181</v>
      </c>
      <c r="C96" s="5" t="s">
        <v>526</v>
      </c>
      <c r="D96" s="5" t="s">
        <v>527</v>
      </c>
      <c r="E96" s="5">
        <v>3</v>
      </c>
      <c r="F96" s="5" t="s">
        <v>682</v>
      </c>
      <c r="G96" s="5" t="s">
        <v>683</v>
      </c>
      <c r="H96" s="5" t="s">
        <v>684</v>
      </c>
      <c r="I96" s="5" t="s">
        <v>685</v>
      </c>
      <c r="J96" s="5" t="s">
        <v>686</v>
      </c>
      <c r="K96" s="5" t="s">
        <v>687</v>
      </c>
      <c r="L96" s="5">
        <v>10</v>
      </c>
      <c r="M96" s="6">
        <f t="shared" si="7"/>
        <v>7</v>
      </c>
      <c r="N96" s="6" t="str">
        <f t="shared" si="8"/>
        <v>yes</v>
      </c>
      <c r="O96" s="7"/>
      <c r="P96" s="8">
        <f t="shared" si="9"/>
        <v>6</v>
      </c>
      <c r="Q96" s="8">
        <f t="shared" si="10"/>
        <v>7</v>
      </c>
      <c r="R96" s="8">
        <f t="shared" si="11"/>
        <v>6</v>
      </c>
      <c r="S96" s="8">
        <f t="shared" si="12"/>
        <v>6</v>
      </c>
      <c r="T96" s="8">
        <f t="shared" si="13"/>
        <v>7</v>
      </c>
    </row>
    <row r="97" spans="1:20" ht="26.4" x14ac:dyDescent="0.3">
      <c r="A97" s="5" t="s">
        <v>688</v>
      </c>
      <c r="B97" s="5" t="s">
        <v>181</v>
      </c>
      <c r="C97" s="5" t="s">
        <v>526</v>
      </c>
      <c r="D97" s="5" t="s">
        <v>527</v>
      </c>
      <c r="E97" s="5">
        <v>4</v>
      </c>
      <c r="F97" s="5" t="s">
        <v>689</v>
      </c>
      <c r="G97" s="5" t="s">
        <v>690</v>
      </c>
      <c r="H97" s="5" t="s">
        <v>691</v>
      </c>
      <c r="I97" s="5" t="s">
        <v>692</v>
      </c>
      <c r="J97" s="5" t="s">
        <v>693</v>
      </c>
      <c r="K97" s="5" t="s">
        <v>694</v>
      </c>
      <c r="L97" s="5">
        <v>10</v>
      </c>
      <c r="M97" s="6">
        <f t="shared" si="7"/>
        <v>7</v>
      </c>
      <c r="N97" s="6" t="str">
        <f t="shared" si="8"/>
        <v>yes</v>
      </c>
      <c r="O97" s="7"/>
      <c r="P97" s="8">
        <f t="shared" si="9"/>
        <v>6</v>
      </c>
      <c r="Q97" s="8">
        <f t="shared" si="10"/>
        <v>6</v>
      </c>
      <c r="R97" s="8">
        <f t="shared" si="11"/>
        <v>5</v>
      </c>
      <c r="S97" s="8">
        <f t="shared" si="12"/>
        <v>5</v>
      </c>
      <c r="T97" s="8">
        <f t="shared" si="13"/>
        <v>7</v>
      </c>
    </row>
    <row r="98" spans="1:20" ht="26.4" x14ac:dyDescent="0.3">
      <c r="A98" s="5" t="s">
        <v>695</v>
      </c>
      <c r="B98" s="5" t="s">
        <v>33</v>
      </c>
      <c r="C98" s="5" t="s">
        <v>696</v>
      </c>
      <c r="D98" s="5" t="s">
        <v>35</v>
      </c>
      <c r="E98" s="5">
        <v>1</v>
      </c>
      <c r="F98" s="5" t="s">
        <v>697</v>
      </c>
      <c r="G98" s="5" t="s">
        <v>698</v>
      </c>
      <c r="H98" s="5" t="s">
        <v>699</v>
      </c>
      <c r="I98" s="5" t="s">
        <v>700</v>
      </c>
      <c r="J98" s="5" t="s">
        <v>701</v>
      </c>
      <c r="K98" s="5" t="s">
        <v>702</v>
      </c>
      <c r="L98" s="5">
        <v>10</v>
      </c>
      <c r="M98" s="6">
        <f t="shared" si="7"/>
        <v>7</v>
      </c>
      <c r="N98" s="6" t="str">
        <f t="shared" si="8"/>
        <v>yes</v>
      </c>
      <c r="O98" s="7"/>
      <c r="P98" s="8">
        <f t="shared" si="9"/>
        <v>7</v>
      </c>
      <c r="Q98" s="8">
        <f t="shared" si="10"/>
        <v>7</v>
      </c>
      <c r="R98" s="8">
        <f t="shared" si="11"/>
        <v>6</v>
      </c>
      <c r="S98" s="8">
        <f t="shared" si="12"/>
        <v>7</v>
      </c>
      <c r="T98" s="8">
        <f t="shared" si="13"/>
        <v>7</v>
      </c>
    </row>
    <row r="99" spans="1:20" ht="26.4" x14ac:dyDescent="0.3">
      <c r="A99" s="5" t="s">
        <v>703</v>
      </c>
      <c r="B99" s="5" t="s">
        <v>33</v>
      </c>
      <c r="C99" s="5" t="s">
        <v>696</v>
      </c>
      <c r="D99" s="5" t="s">
        <v>35</v>
      </c>
      <c r="E99" s="5">
        <v>2</v>
      </c>
      <c r="F99" s="5" t="s">
        <v>704</v>
      </c>
      <c r="G99" s="5" t="s">
        <v>705</v>
      </c>
      <c r="H99" s="5" t="s">
        <v>706</v>
      </c>
      <c r="I99" s="5" t="s">
        <v>707</v>
      </c>
      <c r="J99" s="5" t="s">
        <v>708</v>
      </c>
      <c r="K99" s="5" t="s">
        <v>709</v>
      </c>
      <c r="L99" s="5">
        <v>10</v>
      </c>
      <c r="M99" s="6">
        <f t="shared" si="7"/>
        <v>8</v>
      </c>
      <c r="N99" s="6" t="str">
        <f t="shared" si="8"/>
        <v>yes</v>
      </c>
      <c r="O99" s="7"/>
      <c r="P99" s="8">
        <f t="shared" si="9"/>
        <v>7</v>
      </c>
      <c r="Q99" s="8">
        <f t="shared" si="10"/>
        <v>6</v>
      </c>
      <c r="R99" s="8">
        <f t="shared" si="11"/>
        <v>6</v>
      </c>
      <c r="S99" s="8">
        <f t="shared" si="12"/>
        <v>8</v>
      </c>
      <c r="T99" s="8">
        <f t="shared" si="13"/>
        <v>7</v>
      </c>
    </row>
    <row r="100" spans="1:20" ht="26.4" x14ac:dyDescent="0.3">
      <c r="A100" s="5" t="s">
        <v>710</v>
      </c>
      <c r="B100" s="5" t="s">
        <v>33</v>
      </c>
      <c r="C100" s="5" t="s">
        <v>696</v>
      </c>
      <c r="D100" s="5" t="s">
        <v>35</v>
      </c>
      <c r="E100" s="5">
        <v>3</v>
      </c>
      <c r="F100" s="5" t="s">
        <v>711</v>
      </c>
      <c r="G100" s="5" t="s">
        <v>712</v>
      </c>
      <c r="H100" s="5" t="s">
        <v>713</v>
      </c>
      <c r="I100" s="5" t="s">
        <v>714</v>
      </c>
      <c r="J100" s="5" t="s">
        <v>715</v>
      </c>
      <c r="K100" s="5" t="s">
        <v>716</v>
      </c>
      <c r="L100" s="5">
        <v>10</v>
      </c>
      <c r="M100" s="6">
        <f t="shared" si="7"/>
        <v>8</v>
      </c>
      <c r="N100" s="6" t="str">
        <f t="shared" si="8"/>
        <v>yes</v>
      </c>
      <c r="O100" s="7"/>
      <c r="P100" s="8">
        <f t="shared" si="9"/>
        <v>8</v>
      </c>
      <c r="Q100" s="8">
        <f t="shared" si="10"/>
        <v>6</v>
      </c>
      <c r="R100" s="8">
        <f t="shared" si="11"/>
        <v>4</v>
      </c>
      <c r="S100" s="8">
        <f t="shared" si="12"/>
        <v>8</v>
      </c>
      <c r="T100" s="8">
        <f t="shared" si="13"/>
        <v>8</v>
      </c>
    </row>
    <row r="101" spans="1:20" ht="26.4" x14ac:dyDescent="0.3">
      <c r="A101" s="5" t="s">
        <v>717</v>
      </c>
      <c r="B101" s="5" t="s">
        <v>33</v>
      </c>
      <c r="C101" s="5" t="s">
        <v>696</v>
      </c>
      <c r="D101" s="5" t="s">
        <v>35</v>
      </c>
      <c r="E101" s="5">
        <v>4</v>
      </c>
      <c r="F101" s="5" t="s">
        <v>718</v>
      </c>
      <c r="G101" s="5" t="s">
        <v>719</v>
      </c>
      <c r="H101" s="5" t="s">
        <v>720</v>
      </c>
      <c r="I101" s="5" t="s">
        <v>721</v>
      </c>
      <c r="J101" s="5" t="s">
        <v>722</v>
      </c>
      <c r="K101" s="5" t="s">
        <v>723</v>
      </c>
      <c r="L101" s="5">
        <v>10</v>
      </c>
      <c r="M101" s="6">
        <f t="shared" si="7"/>
        <v>7</v>
      </c>
      <c r="N101" s="6" t="str">
        <f t="shared" si="8"/>
        <v>yes</v>
      </c>
      <c r="O101" s="7"/>
      <c r="P101" s="8">
        <f t="shared" si="9"/>
        <v>6</v>
      </c>
      <c r="Q101" s="8">
        <f t="shared" si="10"/>
        <v>7</v>
      </c>
      <c r="R101" s="8">
        <f t="shared" si="11"/>
        <v>7</v>
      </c>
      <c r="S101" s="8">
        <f t="shared" si="12"/>
        <v>6</v>
      </c>
      <c r="T101" s="8">
        <f t="shared" si="13"/>
        <v>7</v>
      </c>
    </row>
    <row r="102" spans="1:20" ht="26.4" x14ac:dyDescent="0.3">
      <c r="A102" s="5" t="s">
        <v>724</v>
      </c>
      <c r="B102" s="5" t="s">
        <v>64</v>
      </c>
      <c r="C102" s="5" t="s">
        <v>696</v>
      </c>
      <c r="D102" s="5" t="s">
        <v>35</v>
      </c>
      <c r="E102" s="5">
        <v>1</v>
      </c>
      <c r="F102" s="5" t="s">
        <v>725</v>
      </c>
      <c r="G102" s="5" t="s">
        <v>726</v>
      </c>
      <c r="H102" s="5" t="s">
        <v>727</v>
      </c>
      <c r="I102" s="5" t="s">
        <v>728</v>
      </c>
      <c r="J102" s="5" t="s">
        <v>729</v>
      </c>
      <c r="K102" s="5" t="s">
        <v>730</v>
      </c>
      <c r="L102" s="5">
        <v>10</v>
      </c>
      <c r="M102" s="6">
        <f t="shared" si="7"/>
        <v>6</v>
      </c>
      <c r="N102" s="6" t="str">
        <f t="shared" si="8"/>
        <v>yes</v>
      </c>
      <c r="O102" s="7"/>
      <c r="P102" s="8">
        <f t="shared" si="9"/>
        <v>6</v>
      </c>
      <c r="Q102" s="8">
        <f t="shared" si="10"/>
        <v>5</v>
      </c>
      <c r="R102" s="8">
        <f t="shared" si="11"/>
        <v>5</v>
      </c>
      <c r="S102" s="8">
        <f t="shared" si="12"/>
        <v>5</v>
      </c>
      <c r="T102" s="8">
        <f t="shared" si="13"/>
        <v>6</v>
      </c>
    </row>
    <row r="103" spans="1:20" ht="26.4" x14ac:dyDescent="0.3">
      <c r="A103" s="5" t="s">
        <v>731</v>
      </c>
      <c r="B103" s="5" t="s">
        <v>64</v>
      </c>
      <c r="C103" s="5" t="s">
        <v>696</v>
      </c>
      <c r="D103" s="5" t="s">
        <v>35</v>
      </c>
      <c r="E103" s="5">
        <v>2</v>
      </c>
      <c r="F103" s="5" t="s">
        <v>732</v>
      </c>
      <c r="G103" s="5" t="s">
        <v>733</v>
      </c>
      <c r="H103" s="5" t="s">
        <v>734</v>
      </c>
      <c r="I103" s="5" t="s">
        <v>735</v>
      </c>
      <c r="J103" s="5" t="s">
        <v>736</v>
      </c>
      <c r="K103" s="5" t="s">
        <v>737</v>
      </c>
      <c r="L103" s="5">
        <v>10</v>
      </c>
      <c r="M103" s="6">
        <f t="shared" si="7"/>
        <v>6</v>
      </c>
      <c r="N103" s="6" t="str">
        <f t="shared" si="8"/>
        <v>yes</v>
      </c>
      <c r="O103" s="7"/>
      <c r="P103" s="8">
        <f t="shared" si="9"/>
        <v>6</v>
      </c>
      <c r="Q103" s="8">
        <f t="shared" si="10"/>
        <v>5</v>
      </c>
      <c r="R103" s="8">
        <f t="shared" si="11"/>
        <v>4</v>
      </c>
      <c r="S103" s="8">
        <f t="shared" si="12"/>
        <v>5</v>
      </c>
      <c r="T103" s="8">
        <f t="shared" si="13"/>
        <v>6</v>
      </c>
    </row>
    <row r="104" spans="1:20" ht="26.4" x14ac:dyDescent="0.3">
      <c r="A104" s="5" t="s">
        <v>738</v>
      </c>
      <c r="B104" s="5" t="s">
        <v>64</v>
      </c>
      <c r="C104" s="5" t="s">
        <v>696</v>
      </c>
      <c r="D104" s="5" t="s">
        <v>35</v>
      </c>
      <c r="E104" s="5">
        <v>3</v>
      </c>
      <c r="F104" s="5" t="s">
        <v>739</v>
      </c>
      <c r="G104" s="5" t="s">
        <v>740</v>
      </c>
      <c r="H104" s="5" t="s">
        <v>741</v>
      </c>
      <c r="I104" s="5" t="s">
        <v>742</v>
      </c>
      <c r="J104" s="5" t="s">
        <v>743</v>
      </c>
      <c r="K104" s="5" t="s">
        <v>744</v>
      </c>
      <c r="L104" s="5">
        <v>10</v>
      </c>
      <c r="M104" s="6">
        <f t="shared" si="7"/>
        <v>6</v>
      </c>
      <c r="N104" s="6" t="str">
        <f t="shared" si="8"/>
        <v>yes</v>
      </c>
      <c r="O104" s="7"/>
      <c r="P104" s="8">
        <f t="shared" si="9"/>
        <v>5</v>
      </c>
      <c r="Q104" s="8">
        <f t="shared" si="10"/>
        <v>6</v>
      </c>
      <c r="R104" s="8">
        <f t="shared" si="11"/>
        <v>6</v>
      </c>
      <c r="S104" s="8">
        <f t="shared" si="12"/>
        <v>5</v>
      </c>
      <c r="T104" s="8">
        <f t="shared" si="13"/>
        <v>6</v>
      </c>
    </row>
    <row r="105" spans="1:20" ht="26.4" x14ac:dyDescent="0.3">
      <c r="A105" s="5" t="s">
        <v>745</v>
      </c>
      <c r="B105" s="5" t="s">
        <v>64</v>
      </c>
      <c r="C105" s="5" t="s">
        <v>696</v>
      </c>
      <c r="D105" s="5" t="s">
        <v>35</v>
      </c>
      <c r="E105" s="5">
        <v>4</v>
      </c>
      <c r="F105" s="5" t="s">
        <v>746</v>
      </c>
      <c r="G105" s="5" t="s">
        <v>747</v>
      </c>
      <c r="H105" s="5" t="s">
        <v>748</v>
      </c>
      <c r="I105" s="5" t="s">
        <v>749</v>
      </c>
      <c r="J105" s="5" t="s">
        <v>750</v>
      </c>
      <c r="K105" s="5" t="s">
        <v>751</v>
      </c>
      <c r="L105" s="5">
        <v>10</v>
      </c>
      <c r="M105" s="6">
        <f t="shared" si="7"/>
        <v>7</v>
      </c>
      <c r="N105" s="6" t="str">
        <f t="shared" si="8"/>
        <v>yes</v>
      </c>
      <c r="O105" s="7"/>
      <c r="P105" s="8">
        <f t="shared" si="9"/>
        <v>6</v>
      </c>
      <c r="Q105" s="8">
        <f t="shared" si="10"/>
        <v>5</v>
      </c>
      <c r="R105" s="8">
        <f t="shared" si="11"/>
        <v>6</v>
      </c>
      <c r="S105" s="8">
        <f t="shared" si="12"/>
        <v>5</v>
      </c>
      <c r="T105" s="8">
        <f t="shared" si="13"/>
        <v>7</v>
      </c>
    </row>
    <row r="106" spans="1:20" ht="26.4" x14ac:dyDescent="0.3">
      <c r="A106" s="5" t="s">
        <v>752</v>
      </c>
      <c r="B106" s="5" t="s">
        <v>93</v>
      </c>
      <c r="C106" s="5" t="s">
        <v>696</v>
      </c>
      <c r="D106" s="5" t="s">
        <v>94</v>
      </c>
      <c r="E106" s="5">
        <v>1</v>
      </c>
      <c r="F106" s="5" t="s">
        <v>753</v>
      </c>
      <c r="G106" s="5" t="s">
        <v>754</v>
      </c>
      <c r="H106" s="5" t="s">
        <v>755</v>
      </c>
      <c r="I106" s="5" t="s">
        <v>756</v>
      </c>
      <c r="J106" s="5" t="s">
        <v>757</v>
      </c>
      <c r="K106" s="5" t="s">
        <v>758</v>
      </c>
      <c r="L106" s="5">
        <v>10</v>
      </c>
      <c r="M106" s="6">
        <f t="shared" si="7"/>
        <v>9</v>
      </c>
      <c r="N106" s="6" t="str">
        <f t="shared" si="8"/>
        <v>yes</v>
      </c>
      <c r="O106" s="7"/>
      <c r="P106" s="8">
        <f t="shared" si="9"/>
        <v>9</v>
      </c>
      <c r="Q106" s="8">
        <f t="shared" si="10"/>
        <v>9</v>
      </c>
      <c r="R106" s="8">
        <f t="shared" si="11"/>
        <v>8</v>
      </c>
      <c r="S106" s="8">
        <f t="shared" si="12"/>
        <v>8</v>
      </c>
      <c r="T106" s="8">
        <f t="shared" si="13"/>
        <v>8</v>
      </c>
    </row>
    <row r="107" spans="1:20" ht="26.4" x14ac:dyDescent="0.3">
      <c r="A107" s="5" t="s">
        <v>759</v>
      </c>
      <c r="B107" s="5" t="s">
        <v>93</v>
      </c>
      <c r="C107" s="5" t="s">
        <v>696</v>
      </c>
      <c r="D107" s="5" t="s">
        <v>94</v>
      </c>
      <c r="E107" s="5">
        <v>2</v>
      </c>
      <c r="F107" s="5" t="s">
        <v>760</v>
      </c>
      <c r="G107" s="5" t="s">
        <v>761</v>
      </c>
      <c r="H107" s="5" t="s">
        <v>762</v>
      </c>
      <c r="I107" s="5" t="s">
        <v>763</v>
      </c>
      <c r="J107" s="5" t="s">
        <v>764</v>
      </c>
      <c r="K107" s="5" t="s">
        <v>765</v>
      </c>
      <c r="L107" s="5">
        <v>10</v>
      </c>
      <c r="M107" s="6">
        <f t="shared" si="7"/>
        <v>9</v>
      </c>
      <c r="N107" s="6" t="str">
        <f t="shared" si="8"/>
        <v>yes</v>
      </c>
      <c r="O107" s="7"/>
      <c r="P107" s="8">
        <f t="shared" si="9"/>
        <v>8</v>
      </c>
      <c r="Q107" s="8">
        <f t="shared" si="10"/>
        <v>7</v>
      </c>
      <c r="R107" s="8">
        <f t="shared" si="11"/>
        <v>7</v>
      </c>
      <c r="S107" s="8">
        <f t="shared" si="12"/>
        <v>8</v>
      </c>
      <c r="T107" s="8">
        <f t="shared" si="13"/>
        <v>9</v>
      </c>
    </row>
    <row r="108" spans="1:20" ht="26.4" x14ac:dyDescent="0.3">
      <c r="A108" s="5" t="s">
        <v>766</v>
      </c>
      <c r="B108" s="5" t="s">
        <v>93</v>
      </c>
      <c r="C108" s="5" t="s">
        <v>696</v>
      </c>
      <c r="D108" s="5" t="s">
        <v>94</v>
      </c>
      <c r="E108" s="5">
        <v>3</v>
      </c>
      <c r="F108" s="5" t="s">
        <v>767</v>
      </c>
      <c r="G108" s="5" t="s">
        <v>768</v>
      </c>
      <c r="H108" s="5" t="s">
        <v>769</v>
      </c>
      <c r="I108" s="5" t="s">
        <v>770</v>
      </c>
      <c r="J108" s="5" t="s">
        <v>771</v>
      </c>
      <c r="K108" s="5" t="s">
        <v>772</v>
      </c>
      <c r="L108" s="5">
        <v>10</v>
      </c>
      <c r="M108" s="6">
        <f t="shared" si="7"/>
        <v>8</v>
      </c>
      <c r="N108" s="6" t="str">
        <f t="shared" si="8"/>
        <v>yes</v>
      </c>
      <c r="O108" s="7"/>
      <c r="P108" s="8">
        <f t="shared" si="9"/>
        <v>8</v>
      </c>
      <c r="Q108" s="8">
        <f t="shared" si="10"/>
        <v>7</v>
      </c>
      <c r="R108" s="8">
        <f t="shared" si="11"/>
        <v>7</v>
      </c>
      <c r="S108" s="8">
        <f t="shared" si="12"/>
        <v>8</v>
      </c>
      <c r="T108" s="8">
        <f t="shared" si="13"/>
        <v>8</v>
      </c>
    </row>
    <row r="109" spans="1:20" ht="26.4" x14ac:dyDescent="0.3">
      <c r="A109" s="5" t="s">
        <v>773</v>
      </c>
      <c r="B109" s="5" t="s">
        <v>93</v>
      </c>
      <c r="C109" s="5" t="s">
        <v>696</v>
      </c>
      <c r="D109" s="5" t="s">
        <v>94</v>
      </c>
      <c r="E109" s="5">
        <v>4</v>
      </c>
      <c r="F109" s="5" t="s">
        <v>774</v>
      </c>
      <c r="G109" s="5" t="s">
        <v>775</v>
      </c>
      <c r="H109" s="5" t="s">
        <v>776</v>
      </c>
      <c r="I109" s="5" t="s">
        <v>777</v>
      </c>
      <c r="J109" s="5" t="s">
        <v>778</v>
      </c>
      <c r="K109" s="5" t="s">
        <v>779</v>
      </c>
      <c r="L109" s="5">
        <v>10</v>
      </c>
      <c r="M109" s="6">
        <f t="shared" si="7"/>
        <v>8</v>
      </c>
      <c r="N109" s="6" t="str">
        <f t="shared" si="8"/>
        <v>yes</v>
      </c>
      <c r="O109" s="7"/>
      <c r="P109" s="8">
        <f t="shared" si="9"/>
        <v>7</v>
      </c>
      <c r="Q109" s="8">
        <f t="shared" si="10"/>
        <v>6</v>
      </c>
      <c r="R109" s="8">
        <f t="shared" si="11"/>
        <v>8</v>
      </c>
      <c r="S109" s="8">
        <f t="shared" si="12"/>
        <v>6</v>
      </c>
      <c r="T109" s="8">
        <f t="shared" si="13"/>
        <v>8</v>
      </c>
    </row>
    <row r="110" spans="1:20" ht="26.4" x14ac:dyDescent="0.3">
      <c r="A110" s="5" t="s">
        <v>780</v>
      </c>
      <c r="B110" s="5" t="s">
        <v>123</v>
      </c>
      <c r="C110" s="5" t="s">
        <v>696</v>
      </c>
      <c r="D110" s="5" t="s">
        <v>94</v>
      </c>
      <c r="E110" s="5">
        <v>1</v>
      </c>
      <c r="F110" s="5" t="s">
        <v>781</v>
      </c>
      <c r="G110" s="5" t="s">
        <v>782</v>
      </c>
      <c r="H110" s="5" t="s">
        <v>783</v>
      </c>
      <c r="I110" s="5" t="s">
        <v>784</v>
      </c>
      <c r="J110" s="5" t="s">
        <v>785</v>
      </c>
      <c r="K110" s="5" t="s">
        <v>786</v>
      </c>
      <c r="L110" s="5">
        <v>10</v>
      </c>
      <c r="M110" s="6">
        <f t="shared" si="7"/>
        <v>8</v>
      </c>
      <c r="N110" s="6" t="str">
        <f t="shared" si="8"/>
        <v>yes</v>
      </c>
      <c r="O110" s="7"/>
      <c r="P110" s="8">
        <f t="shared" si="9"/>
        <v>7</v>
      </c>
      <c r="Q110" s="8">
        <f t="shared" si="10"/>
        <v>7</v>
      </c>
      <c r="R110" s="8">
        <f t="shared" si="11"/>
        <v>7</v>
      </c>
      <c r="S110" s="8">
        <f t="shared" si="12"/>
        <v>7</v>
      </c>
      <c r="T110" s="8">
        <f t="shared" si="13"/>
        <v>8</v>
      </c>
    </row>
    <row r="111" spans="1:20" ht="26.4" x14ac:dyDescent="0.3">
      <c r="A111" s="5" t="s">
        <v>787</v>
      </c>
      <c r="B111" s="5" t="s">
        <v>123</v>
      </c>
      <c r="C111" s="5" t="s">
        <v>696</v>
      </c>
      <c r="D111" s="5" t="s">
        <v>94</v>
      </c>
      <c r="E111" s="5">
        <v>2</v>
      </c>
      <c r="F111" s="5" t="s">
        <v>788</v>
      </c>
      <c r="G111" s="5" t="s">
        <v>789</v>
      </c>
      <c r="H111" s="5" t="s">
        <v>790</v>
      </c>
      <c r="I111" s="5" t="s">
        <v>791</v>
      </c>
      <c r="J111" s="5" t="s">
        <v>792</v>
      </c>
      <c r="K111" s="5" t="s">
        <v>793</v>
      </c>
      <c r="L111" s="5">
        <v>10</v>
      </c>
      <c r="M111" s="6">
        <f t="shared" si="7"/>
        <v>7</v>
      </c>
      <c r="N111" s="6" t="str">
        <f t="shared" si="8"/>
        <v>yes</v>
      </c>
      <c r="O111" s="7"/>
      <c r="P111" s="8">
        <f t="shared" si="9"/>
        <v>7</v>
      </c>
      <c r="Q111" s="8">
        <f t="shared" si="10"/>
        <v>7</v>
      </c>
      <c r="R111" s="8">
        <f t="shared" si="11"/>
        <v>6</v>
      </c>
      <c r="S111" s="8">
        <f t="shared" si="12"/>
        <v>5</v>
      </c>
      <c r="T111" s="8">
        <f t="shared" si="13"/>
        <v>7</v>
      </c>
    </row>
    <row r="112" spans="1:20" ht="26.4" x14ac:dyDescent="0.3">
      <c r="A112" s="5" t="s">
        <v>794</v>
      </c>
      <c r="B112" s="5" t="s">
        <v>123</v>
      </c>
      <c r="C112" s="5" t="s">
        <v>696</v>
      </c>
      <c r="D112" s="5" t="s">
        <v>94</v>
      </c>
      <c r="E112" s="5">
        <v>3</v>
      </c>
      <c r="F112" s="5" t="s">
        <v>795</v>
      </c>
      <c r="G112" s="5" t="s">
        <v>796</v>
      </c>
      <c r="H112" s="5" t="s">
        <v>797</v>
      </c>
      <c r="I112" s="5" t="s">
        <v>798</v>
      </c>
      <c r="J112" s="5" t="s">
        <v>799</v>
      </c>
      <c r="K112" s="5" t="s">
        <v>800</v>
      </c>
      <c r="L112" s="5">
        <v>10</v>
      </c>
      <c r="M112" s="6">
        <f t="shared" si="7"/>
        <v>7</v>
      </c>
      <c r="N112" s="6" t="str">
        <f t="shared" si="8"/>
        <v>yes</v>
      </c>
      <c r="O112" s="7"/>
      <c r="P112" s="8">
        <f t="shared" si="9"/>
        <v>6</v>
      </c>
      <c r="Q112" s="8">
        <f t="shared" si="10"/>
        <v>7</v>
      </c>
      <c r="R112" s="8">
        <f t="shared" si="11"/>
        <v>5</v>
      </c>
      <c r="S112" s="8">
        <f t="shared" si="12"/>
        <v>7</v>
      </c>
      <c r="T112" s="8">
        <f t="shared" si="13"/>
        <v>7</v>
      </c>
    </row>
    <row r="113" spans="1:20" ht="26.4" x14ac:dyDescent="0.3">
      <c r="A113" s="5" t="s">
        <v>801</v>
      </c>
      <c r="B113" s="5" t="s">
        <v>123</v>
      </c>
      <c r="C113" s="5" t="s">
        <v>696</v>
      </c>
      <c r="D113" s="5" t="s">
        <v>94</v>
      </c>
      <c r="E113" s="5">
        <v>4</v>
      </c>
      <c r="F113" s="5" t="s">
        <v>802</v>
      </c>
      <c r="G113" s="5" t="s">
        <v>803</v>
      </c>
      <c r="H113" s="5" t="s">
        <v>804</v>
      </c>
      <c r="I113" s="5" t="s">
        <v>805</v>
      </c>
      <c r="J113" s="5" t="s">
        <v>806</v>
      </c>
      <c r="K113" s="5" t="s">
        <v>807</v>
      </c>
      <c r="L113" s="5">
        <v>10</v>
      </c>
      <c r="M113" s="6">
        <f t="shared" si="7"/>
        <v>7</v>
      </c>
      <c r="N113" s="6" t="str">
        <f t="shared" si="8"/>
        <v>yes</v>
      </c>
      <c r="O113" s="7"/>
      <c r="P113" s="8">
        <f t="shared" si="9"/>
        <v>5</v>
      </c>
      <c r="Q113" s="8">
        <f t="shared" si="10"/>
        <v>5</v>
      </c>
      <c r="R113" s="8">
        <f t="shared" si="11"/>
        <v>6</v>
      </c>
      <c r="S113" s="8">
        <f t="shared" si="12"/>
        <v>5</v>
      </c>
      <c r="T113" s="8">
        <f t="shared" si="13"/>
        <v>7</v>
      </c>
    </row>
    <row r="114" spans="1:20" ht="26.4" x14ac:dyDescent="0.3">
      <c r="A114" s="5" t="s">
        <v>808</v>
      </c>
      <c r="B114" s="5" t="s">
        <v>152</v>
      </c>
      <c r="C114" s="5" t="s">
        <v>696</v>
      </c>
      <c r="D114" s="5" t="s">
        <v>94</v>
      </c>
      <c r="E114" s="5">
        <v>1</v>
      </c>
      <c r="F114" s="5" t="s">
        <v>809</v>
      </c>
      <c r="G114" s="5" t="s">
        <v>810</v>
      </c>
      <c r="H114" s="5" t="s">
        <v>811</v>
      </c>
      <c r="I114" s="5" t="s">
        <v>812</v>
      </c>
      <c r="J114" s="5" t="s">
        <v>813</v>
      </c>
      <c r="K114" s="5" t="s">
        <v>814</v>
      </c>
      <c r="L114" s="5">
        <v>10</v>
      </c>
      <c r="M114" s="6">
        <f t="shared" si="7"/>
        <v>8</v>
      </c>
      <c r="N114" s="6" t="str">
        <f t="shared" si="8"/>
        <v>yes</v>
      </c>
      <c r="O114" s="7"/>
      <c r="P114" s="8">
        <f t="shared" si="9"/>
        <v>7</v>
      </c>
      <c r="Q114" s="8">
        <f t="shared" si="10"/>
        <v>6</v>
      </c>
      <c r="R114" s="8">
        <f t="shared" si="11"/>
        <v>4</v>
      </c>
      <c r="S114" s="8">
        <f t="shared" si="12"/>
        <v>5</v>
      </c>
      <c r="T114" s="8">
        <f t="shared" si="13"/>
        <v>8</v>
      </c>
    </row>
    <row r="115" spans="1:20" ht="26.4" x14ac:dyDescent="0.3">
      <c r="A115" s="5" t="s">
        <v>815</v>
      </c>
      <c r="B115" s="5" t="s">
        <v>152</v>
      </c>
      <c r="C115" s="5" t="s">
        <v>696</v>
      </c>
      <c r="D115" s="5" t="s">
        <v>94</v>
      </c>
      <c r="E115" s="5">
        <v>2</v>
      </c>
      <c r="F115" s="5" t="s">
        <v>816</v>
      </c>
      <c r="G115" s="5" t="s">
        <v>817</v>
      </c>
      <c r="H115" s="5" t="s">
        <v>818</v>
      </c>
      <c r="I115" s="5" t="s">
        <v>819</v>
      </c>
      <c r="J115" s="5" t="s">
        <v>820</v>
      </c>
      <c r="K115" s="5" t="s">
        <v>821</v>
      </c>
      <c r="L115" s="5">
        <v>10</v>
      </c>
      <c r="M115" s="6">
        <f t="shared" si="7"/>
        <v>8</v>
      </c>
      <c r="N115" s="6" t="str">
        <f t="shared" si="8"/>
        <v>yes</v>
      </c>
      <c r="O115" s="7"/>
      <c r="P115" s="8">
        <f t="shared" si="9"/>
        <v>8</v>
      </c>
      <c r="Q115" s="8">
        <f t="shared" si="10"/>
        <v>6</v>
      </c>
      <c r="R115" s="8">
        <f t="shared" si="11"/>
        <v>6</v>
      </c>
      <c r="S115" s="8">
        <f t="shared" si="12"/>
        <v>7</v>
      </c>
      <c r="T115" s="8">
        <f t="shared" si="13"/>
        <v>6</v>
      </c>
    </row>
    <row r="116" spans="1:20" ht="26.4" x14ac:dyDescent="0.3">
      <c r="A116" s="5" t="s">
        <v>822</v>
      </c>
      <c r="B116" s="5" t="s">
        <v>152</v>
      </c>
      <c r="C116" s="5" t="s">
        <v>696</v>
      </c>
      <c r="D116" s="5" t="s">
        <v>94</v>
      </c>
      <c r="E116" s="5">
        <v>3</v>
      </c>
      <c r="F116" s="5" t="s">
        <v>823</v>
      </c>
      <c r="G116" s="5" t="s">
        <v>824</v>
      </c>
      <c r="H116" s="5" t="s">
        <v>825</v>
      </c>
      <c r="I116" s="5" t="s">
        <v>826</v>
      </c>
      <c r="J116" s="5" t="s">
        <v>827</v>
      </c>
      <c r="K116" s="5" t="s">
        <v>828</v>
      </c>
      <c r="L116" s="5">
        <v>10</v>
      </c>
      <c r="M116" s="6">
        <f t="shared" si="7"/>
        <v>7</v>
      </c>
      <c r="N116" s="6" t="str">
        <f t="shared" si="8"/>
        <v>yes</v>
      </c>
      <c r="O116" s="7"/>
      <c r="P116" s="8">
        <f t="shared" si="9"/>
        <v>6</v>
      </c>
      <c r="Q116" s="8">
        <f t="shared" si="10"/>
        <v>6</v>
      </c>
      <c r="R116" s="8">
        <f t="shared" si="11"/>
        <v>7</v>
      </c>
      <c r="S116" s="8">
        <f t="shared" si="12"/>
        <v>7</v>
      </c>
      <c r="T116" s="8">
        <f t="shared" si="13"/>
        <v>7</v>
      </c>
    </row>
    <row r="117" spans="1:20" ht="26.4" x14ac:dyDescent="0.3">
      <c r="A117" s="5" t="s">
        <v>829</v>
      </c>
      <c r="B117" s="5" t="s">
        <v>152</v>
      </c>
      <c r="C117" s="5" t="s">
        <v>696</v>
      </c>
      <c r="D117" s="5" t="s">
        <v>94</v>
      </c>
      <c r="E117" s="5">
        <v>4</v>
      </c>
      <c r="F117" s="5" t="s">
        <v>830</v>
      </c>
      <c r="G117" s="5" t="s">
        <v>831</v>
      </c>
      <c r="H117" s="5" t="s">
        <v>832</v>
      </c>
      <c r="I117" s="5" t="s">
        <v>833</v>
      </c>
      <c r="J117" s="5" t="s">
        <v>834</v>
      </c>
      <c r="K117" s="5" t="s">
        <v>835</v>
      </c>
      <c r="L117" s="5">
        <v>10</v>
      </c>
      <c r="M117" s="6">
        <f t="shared" si="7"/>
        <v>8</v>
      </c>
      <c r="N117" s="6" t="str">
        <f t="shared" si="8"/>
        <v>yes</v>
      </c>
      <c r="O117" s="7"/>
      <c r="P117" s="8">
        <f t="shared" si="9"/>
        <v>7</v>
      </c>
      <c r="Q117" s="8">
        <f t="shared" si="10"/>
        <v>7</v>
      </c>
      <c r="R117" s="8">
        <f t="shared" si="11"/>
        <v>5</v>
      </c>
      <c r="S117" s="8">
        <f t="shared" si="12"/>
        <v>6</v>
      </c>
      <c r="T117" s="8">
        <f t="shared" si="13"/>
        <v>8</v>
      </c>
    </row>
    <row r="118" spans="1:20" ht="26.4" x14ac:dyDescent="0.3">
      <c r="A118" s="5" t="s">
        <v>836</v>
      </c>
      <c r="B118" s="5" t="s">
        <v>181</v>
      </c>
      <c r="C118" s="5" t="s">
        <v>696</v>
      </c>
      <c r="D118" s="5" t="s">
        <v>94</v>
      </c>
      <c r="E118" s="5">
        <v>1</v>
      </c>
      <c r="F118" s="5" t="s">
        <v>837</v>
      </c>
      <c r="G118" s="5" t="s">
        <v>838</v>
      </c>
      <c r="H118" s="5" t="s">
        <v>839</v>
      </c>
      <c r="I118" s="5" t="s">
        <v>840</v>
      </c>
      <c r="J118" s="5" t="s">
        <v>841</v>
      </c>
      <c r="K118" s="5" t="s">
        <v>842</v>
      </c>
      <c r="L118" s="5">
        <v>10</v>
      </c>
      <c r="M118" s="6">
        <f t="shared" si="7"/>
        <v>8</v>
      </c>
      <c r="N118" s="6" t="str">
        <f t="shared" si="8"/>
        <v>yes</v>
      </c>
      <c r="O118" s="7"/>
      <c r="P118" s="8">
        <f t="shared" si="9"/>
        <v>6</v>
      </c>
      <c r="Q118" s="8">
        <f t="shared" si="10"/>
        <v>7</v>
      </c>
      <c r="R118" s="8">
        <f t="shared" si="11"/>
        <v>5</v>
      </c>
      <c r="S118" s="8">
        <f t="shared" si="12"/>
        <v>6</v>
      </c>
      <c r="T118" s="8">
        <f t="shared" si="13"/>
        <v>8</v>
      </c>
    </row>
    <row r="119" spans="1:20" ht="26.4" x14ac:dyDescent="0.3">
      <c r="A119" s="5" t="s">
        <v>843</v>
      </c>
      <c r="B119" s="5" t="s">
        <v>181</v>
      </c>
      <c r="C119" s="5" t="s">
        <v>696</v>
      </c>
      <c r="D119" s="5" t="s">
        <v>94</v>
      </c>
      <c r="E119" s="5">
        <v>2</v>
      </c>
      <c r="F119" s="5" t="s">
        <v>844</v>
      </c>
      <c r="G119" s="5" t="s">
        <v>845</v>
      </c>
      <c r="H119" s="5" t="s">
        <v>846</v>
      </c>
      <c r="I119" s="5" t="s">
        <v>847</v>
      </c>
      <c r="J119" s="5" t="s">
        <v>848</v>
      </c>
      <c r="K119" s="5" t="s">
        <v>849</v>
      </c>
      <c r="L119" s="5">
        <v>10</v>
      </c>
      <c r="M119" s="6">
        <f t="shared" si="7"/>
        <v>6</v>
      </c>
      <c r="N119" s="6" t="str">
        <f t="shared" si="8"/>
        <v>yes</v>
      </c>
      <c r="O119" s="7"/>
      <c r="P119" s="8">
        <f t="shared" si="9"/>
        <v>5</v>
      </c>
      <c r="Q119" s="8">
        <f t="shared" si="10"/>
        <v>6</v>
      </c>
      <c r="R119" s="8">
        <f t="shared" si="11"/>
        <v>6</v>
      </c>
      <c r="S119" s="8">
        <f t="shared" si="12"/>
        <v>6</v>
      </c>
      <c r="T119" s="8">
        <f t="shared" si="13"/>
        <v>6</v>
      </c>
    </row>
    <row r="120" spans="1:20" ht="26.4" x14ac:dyDescent="0.3">
      <c r="A120" s="5" t="s">
        <v>850</v>
      </c>
      <c r="B120" s="5" t="s">
        <v>181</v>
      </c>
      <c r="C120" s="5" t="s">
        <v>696</v>
      </c>
      <c r="D120" s="5" t="s">
        <v>94</v>
      </c>
      <c r="E120" s="5">
        <v>3</v>
      </c>
      <c r="F120" s="5" t="s">
        <v>851</v>
      </c>
      <c r="G120" s="5" t="s">
        <v>852</v>
      </c>
      <c r="H120" s="5" t="s">
        <v>853</v>
      </c>
      <c r="I120" s="5" t="s">
        <v>854</v>
      </c>
      <c r="J120" s="5" t="s">
        <v>855</v>
      </c>
      <c r="K120" s="5" t="s">
        <v>856</v>
      </c>
      <c r="L120" s="5">
        <v>10</v>
      </c>
      <c r="M120" s="6">
        <f t="shared" si="7"/>
        <v>7</v>
      </c>
      <c r="N120" s="6" t="str">
        <f t="shared" si="8"/>
        <v>yes</v>
      </c>
      <c r="O120" s="7"/>
      <c r="P120" s="8">
        <f t="shared" si="9"/>
        <v>6</v>
      </c>
      <c r="Q120" s="8">
        <f t="shared" si="10"/>
        <v>6</v>
      </c>
      <c r="R120" s="8">
        <f t="shared" si="11"/>
        <v>6</v>
      </c>
      <c r="S120" s="8">
        <f t="shared" si="12"/>
        <v>6</v>
      </c>
      <c r="T120" s="8">
        <f t="shared" si="13"/>
        <v>7</v>
      </c>
    </row>
    <row r="121" spans="1:20" ht="26.4" x14ac:dyDescent="0.3">
      <c r="A121" s="5" t="s">
        <v>857</v>
      </c>
      <c r="B121" s="5" t="s">
        <v>181</v>
      </c>
      <c r="C121" s="5" t="s">
        <v>696</v>
      </c>
      <c r="D121" s="5" t="s">
        <v>94</v>
      </c>
      <c r="E121" s="5">
        <v>4</v>
      </c>
      <c r="F121" s="5" t="s">
        <v>858</v>
      </c>
      <c r="G121" s="5" t="s">
        <v>859</v>
      </c>
      <c r="H121" s="5" t="s">
        <v>860</v>
      </c>
      <c r="I121" s="5" t="s">
        <v>861</v>
      </c>
      <c r="J121" s="5" t="s">
        <v>862</v>
      </c>
      <c r="K121" s="5" t="s">
        <v>863</v>
      </c>
      <c r="L121" s="5">
        <v>10</v>
      </c>
      <c r="M121" s="6">
        <f t="shared" si="7"/>
        <v>8</v>
      </c>
      <c r="N121" s="6" t="str">
        <f t="shared" si="8"/>
        <v>yes</v>
      </c>
      <c r="O121" s="7"/>
      <c r="P121" s="8">
        <f t="shared" si="9"/>
        <v>6</v>
      </c>
      <c r="Q121" s="8">
        <f t="shared" si="10"/>
        <v>5</v>
      </c>
      <c r="R121" s="8">
        <f t="shared" si="11"/>
        <v>6</v>
      </c>
      <c r="S121" s="8">
        <f t="shared" si="12"/>
        <v>8</v>
      </c>
      <c r="T121" s="8">
        <f t="shared" si="13"/>
        <v>6</v>
      </c>
    </row>
    <row r="122" spans="1:20" ht="26.4" x14ac:dyDescent="0.3">
      <c r="A122" s="5" t="s">
        <v>864</v>
      </c>
      <c r="B122" s="5" t="s">
        <v>93</v>
      </c>
      <c r="C122" s="5" t="s">
        <v>696</v>
      </c>
      <c r="D122" s="5" t="s">
        <v>209</v>
      </c>
      <c r="E122" s="5">
        <v>1</v>
      </c>
      <c r="F122" s="5" t="s">
        <v>865</v>
      </c>
      <c r="G122" s="5" t="s">
        <v>866</v>
      </c>
      <c r="H122" s="5" t="s">
        <v>867</v>
      </c>
      <c r="I122" s="5" t="s">
        <v>868</v>
      </c>
      <c r="J122" s="5" t="s">
        <v>869</v>
      </c>
      <c r="K122" s="5" t="s">
        <v>870</v>
      </c>
      <c r="L122" s="5">
        <v>10</v>
      </c>
      <c r="M122" s="6">
        <f t="shared" si="7"/>
        <v>8</v>
      </c>
      <c r="N122" s="6" t="str">
        <f t="shared" si="8"/>
        <v>yes</v>
      </c>
      <c r="O122" s="7"/>
      <c r="P122" s="8">
        <f t="shared" si="9"/>
        <v>7</v>
      </c>
      <c r="Q122" s="8">
        <f t="shared" si="10"/>
        <v>7</v>
      </c>
      <c r="R122" s="8">
        <f t="shared" si="11"/>
        <v>8</v>
      </c>
      <c r="S122" s="8">
        <f t="shared" si="12"/>
        <v>8</v>
      </c>
      <c r="T122" s="8">
        <f t="shared" si="13"/>
        <v>8</v>
      </c>
    </row>
    <row r="123" spans="1:20" ht="26.4" x14ac:dyDescent="0.3">
      <c r="A123" s="5" t="s">
        <v>871</v>
      </c>
      <c r="B123" s="5" t="s">
        <v>93</v>
      </c>
      <c r="C123" s="5" t="s">
        <v>696</v>
      </c>
      <c r="D123" s="5" t="s">
        <v>209</v>
      </c>
      <c r="E123" s="5">
        <v>2</v>
      </c>
      <c r="F123" s="5" t="s">
        <v>872</v>
      </c>
      <c r="G123" s="5" t="s">
        <v>873</v>
      </c>
      <c r="H123" s="5" t="s">
        <v>874</v>
      </c>
      <c r="I123" s="5" t="s">
        <v>875</v>
      </c>
      <c r="J123" s="5" t="s">
        <v>876</v>
      </c>
      <c r="K123" s="5" t="s">
        <v>877</v>
      </c>
      <c r="L123" s="5">
        <v>10</v>
      </c>
      <c r="M123" s="6">
        <f t="shared" si="7"/>
        <v>9</v>
      </c>
      <c r="N123" s="6" t="str">
        <f t="shared" si="8"/>
        <v>yes</v>
      </c>
      <c r="O123" s="7"/>
      <c r="P123" s="8">
        <f t="shared" si="9"/>
        <v>9</v>
      </c>
      <c r="Q123" s="8">
        <f t="shared" si="10"/>
        <v>7</v>
      </c>
      <c r="R123" s="8">
        <f t="shared" si="11"/>
        <v>7</v>
      </c>
      <c r="S123" s="8">
        <f t="shared" si="12"/>
        <v>8</v>
      </c>
      <c r="T123" s="8">
        <f t="shared" si="13"/>
        <v>8</v>
      </c>
    </row>
    <row r="124" spans="1:20" ht="26.4" x14ac:dyDescent="0.3">
      <c r="A124" s="5" t="s">
        <v>878</v>
      </c>
      <c r="B124" s="5" t="s">
        <v>93</v>
      </c>
      <c r="C124" s="5" t="s">
        <v>696</v>
      </c>
      <c r="D124" s="5" t="s">
        <v>209</v>
      </c>
      <c r="E124" s="5">
        <v>3</v>
      </c>
      <c r="F124" s="5" t="s">
        <v>879</v>
      </c>
      <c r="G124" s="5" t="s">
        <v>880</v>
      </c>
      <c r="H124" s="5" t="s">
        <v>881</v>
      </c>
      <c r="I124" s="5" t="s">
        <v>882</v>
      </c>
      <c r="J124" s="5" t="s">
        <v>883</v>
      </c>
      <c r="K124" s="5" t="s">
        <v>884</v>
      </c>
      <c r="L124" s="5">
        <v>10</v>
      </c>
      <c r="M124" s="6">
        <f t="shared" si="7"/>
        <v>8</v>
      </c>
      <c r="N124" s="6" t="str">
        <f t="shared" si="8"/>
        <v>yes</v>
      </c>
      <c r="O124" s="7"/>
      <c r="P124" s="8">
        <f t="shared" si="9"/>
        <v>6</v>
      </c>
      <c r="Q124" s="8">
        <f t="shared" si="10"/>
        <v>8</v>
      </c>
      <c r="R124" s="8">
        <f t="shared" si="11"/>
        <v>7</v>
      </c>
      <c r="S124" s="8">
        <f t="shared" si="12"/>
        <v>8</v>
      </c>
      <c r="T124" s="8">
        <f t="shared" si="13"/>
        <v>8</v>
      </c>
    </row>
    <row r="125" spans="1:20" ht="26.4" x14ac:dyDescent="0.3">
      <c r="A125" s="5" t="s">
        <v>885</v>
      </c>
      <c r="B125" s="5" t="s">
        <v>93</v>
      </c>
      <c r="C125" s="5" t="s">
        <v>696</v>
      </c>
      <c r="D125" s="5" t="s">
        <v>209</v>
      </c>
      <c r="E125" s="5">
        <v>4</v>
      </c>
      <c r="F125" s="5" t="s">
        <v>886</v>
      </c>
      <c r="G125" s="5" t="s">
        <v>887</v>
      </c>
      <c r="H125" s="5" t="s">
        <v>888</v>
      </c>
      <c r="I125" s="5" t="s">
        <v>889</v>
      </c>
      <c r="J125" s="5" t="s">
        <v>890</v>
      </c>
      <c r="K125" s="5" t="s">
        <v>891</v>
      </c>
      <c r="L125" s="5">
        <v>10</v>
      </c>
      <c r="M125" s="6">
        <f t="shared" si="7"/>
        <v>9</v>
      </c>
      <c r="N125" s="6" t="str">
        <f t="shared" si="8"/>
        <v>yes</v>
      </c>
      <c r="O125" s="7"/>
      <c r="P125" s="8">
        <f t="shared" si="9"/>
        <v>8</v>
      </c>
      <c r="Q125" s="8">
        <f t="shared" si="10"/>
        <v>9</v>
      </c>
      <c r="R125" s="8">
        <f t="shared" si="11"/>
        <v>9</v>
      </c>
      <c r="S125" s="8">
        <f t="shared" si="12"/>
        <v>7</v>
      </c>
      <c r="T125" s="8">
        <f t="shared" si="13"/>
        <v>8</v>
      </c>
    </row>
    <row r="126" spans="1:20" ht="26.4" x14ac:dyDescent="0.3">
      <c r="A126" s="5" t="s">
        <v>892</v>
      </c>
      <c r="B126" s="5" t="s">
        <v>123</v>
      </c>
      <c r="C126" s="5" t="s">
        <v>696</v>
      </c>
      <c r="D126" s="5" t="s">
        <v>209</v>
      </c>
      <c r="E126" s="5">
        <v>1</v>
      </c>
      <c r="F126" s="5" t="s">
        <v>893</v>
      </c>
      <c r="G126" s="5" t="s">
        <v>894</v>
      </c>
      <c r="H126" s="5" t="s">
        <v>895</v>
      </c>
      <c r="I126" s="5" t="s">
        <v>896</v>
      </c>
      <c r="J126" s="5" t="s">
        <v>897</v>
      </c>
      <c r="K126" s="5" t="s">
        <v>898</v>
      </c>
      <c r="L126" s="5">
        <v>10</v>
      </c>
      <c r="M126" s="6">
        <f t="shared" si="7"/>
        <v>7</v>
      </c>
      <c r="N126" s="6" t="str">
        <f t="shared" si="8"/>
        <v>yes</v>
      </c>
      <c r="O126" s="7"/>
      <c r="P126" s="8">
        <f t="shared" si="9"/>
        <v>6</v>
      </c>
      <c r="Q126" s="8">
        <f t="shared" si="10"/>
        <v>7</v>
      </c>
      <c r="R126" s="8">
        <f t="shared" si="11"/>
        <v>6</v>
      </c>
      <c r="S126" s="8">
        <f t="shared" si="12"/>
        <v>7</v>
      </c>
      <c r="T126" s="8">
        <f t="shared" si="13"/>
        <v>7</v>
      </c>
    </row>
    <row r="127" spans="1:20" ht="26.4" x14ac:dyDescent="0.3">
      <c r="A127" s="5" t="s">
        <v>899</v>
      </c>
      <c r="B127" s="5" t="s">
        <v>123</v>
      </c>
      <c r="C127" s="5" t="s">
        <v>696</v>
      </c>
      <c r="D127" s="5" t="s">
        <v>209</v>
      </c>
      <c r="E127" s="5">
        <v>2</v>
      </c>
      <c r="F127" s="5" t="s">
        <v>900</v>
      </c>
      <c r="G127" s="5" t="s">
        <v>901</v>
      </c>
      <c r="H127" s="5" t="s">
        <v>902</v>
      </c>
      <c r="I127" s="5" t="s">
        <v>903</v>
      </c>
      <c r="J127" s="5" t="s">
        <v>904</v>
      </c>
      <c r="K127" s="5" t="s">
        <v>905</v>
      </c>
      <c r="L127" s="5">
        <v>10</v>
      </c>
      <c r="M127" s="6">
        <f t="shared" si="7"/>
        <v>7</v>
      </c>
      <c r="N127" s="6" t="str">
        <f t="shared" si="8"/>
        <v>yes</v>
      </c>
      <c r="O127" s="7"/>
      <c r="P127" s="8">
        <f t="shared" si="9"/>
        <v>6</v>
      </c>
      <c r="Q127" s="8">
        <f t="shared" si="10"/>
        <v>4</v>
      </c>
      <c r="R127" s="8">
        <f t="shared" si="11"/>
        <v>7</v>
      </c>
      <c r="S127" s="8">
        <f t="shared" si="12"/>
        <v>6</v>
      </c>
      <c r="T127" s="8">
        <f t="shared" si="13"/>
        <v>7</v>
      </c>
    </row>
    <row r="128" spans="1:20" ht="26.4" x14ac:dyDescent="0.3">
      <c r="A128" s="5" t="s">
        <v>906</v>
      </c>
      <c r="B128" s="5" t="s">
        <v>123</v>
      </c>
      <c r="C128" s="5" t="s">
        <v>696</v>
      </c>
      <c r="D128" s="5" t="s">
        <v>209</v>
      </c>
      <c r="E128" s="5">
        <v>3</v>
      </c>
      <c r="F128" s="5" t="s">
        <v>907</v>
      </c>
      <c r="G128" s="5" t="s">
        <v>908</v>
      </c>
      <c r="H128" s="5" t="s">
        <v>909</v>
      </c>
      <c r="I128" s="5" t="s">
        <v>910</v>
      </c>
      <c r="J128" s="5" t="s">
        <v>911</v>
      </c>
      <c r="K128" s="5" t="s">
        <v>912</v>
      </c>
      <c r="L128" s="5">
        <v>10</v>
      </c>
      <c r="M128" s="6">
        <f t="shared" si="7"/>
        <v>8</v>
      </c>
      <c r="N128" s="6" t="str">
        <f t="shared" si="8"/>
        <v>yes</v>
      </c>
      <c r="O128" s="7"/>
      <c r="P128" s="8">
        <f t="shared" si="9"/>
        <v>6</v>
      </c>
      <c r="Q128" s="8">
        <f t="shared" si="10"/>
        <v>6</v>
      </c>
      <c r="R128" s="8">
        <f t="shared" si="11"/>
        <v>5</v>
      </c>
      <c r="S128" s="8">
        <f t="shared" si="12"/>
        <v>8</v>
      </c>
      <c r="T128" s="8">
        <f t="shared" si="13"/>
        <v>6</v>
      </c>
    </row>
    <row r="129" spans="1:20" ht="26.4" x14ac:dyDescent="0.3">
      <c r="A129" s="5" t="s">
        <v>913</v>
      </c>
      <c r="B129" s="5" t="s">
        <v>123</v>
      </c>
      <c r="C129" s="5" t="s">
        <v>696</v>
      </c>
      <c r="D129" s="5" t="s">
        <v>209</v>
      </c>
      <c r="E129" s="5">
        <v>4</v>
      </c>
      <c r="F129" s="5" t="s">
        <v>914</v>
      </c>
      <c r="G129" s="5" t="s">
        <v>915</v>
      </c>
      <c r="H129" s="5" t="s">
        <v>916</v>
      </c>
      <c r="I129" s="5" t="s">
        <v>917</v>
      </c>
      <c r="J129" s="5" t="s">
        <v>918</v>
      </c>
      <c r="K129" s="5" t="s">
        <v>919</v>
      </c>
      <c r="L129" s="5">
        <v>10</v>
      </c>
      <c r="M129" s="6">
        <f t="shared" si="7"/>
        <v>7</v>
      </c>
      <c r="N129" s="6" t="str">
        <f t="shared" si="8"/>
        <v>yes</v>
      </c>
      <c r="O129" s="7"/>
      <c r="P129" s="8">
        <f t="shared" si="9"/>
        <v>4</v>
      </c>
      <c r="Q129" s="8">
        <f t="shared" si="10"/>
        <v>6</v>
      </c>
      <c r="R129" s="8">
        <f t="shared" si="11"/>
        <v>6</v>
      </c>
      <c r="S129" s="8">
        <f t="shared" si="12"/>
        <v>6</v>
      </c>
      <c r="T129" s="8">
        <f t="shared" si="13"/>
        <v>7</v>
      </c>
    </row>
    <row r="130" spans="1:20" ht="26.4" x14ac:dyDescent="0.3">
      <c r="A130" s="5" t="s">
        <v>920</v>
      </c>
      <c r="B130" s="5" t="s">
        <v>152</v>
      </c>
      <c r="C130" s="5" t="s">
        <v>696</v>
      </c>
      <c r="D130" s="5" t="s">
        <v>209</v>
      </c>
      <c r="E130" s="5">
        <v>1</v>
      </c>
      <c r="F130" s="5" t="s">
        <v>921</v>
      </c>
      <c r="G130" s="5" t="s">
        <v>922</v>
      </c>
      <c r="H130" s="5" t="s">
        <v>923</v>
      </c>
      <c r="I130" s="5" t="s">
        <v>924</v>
      </c>
      <c r="J130" s="5" t="s">
        <v>925</v>
      </c>
      <c r="K130" s="5" t="s">
        <v>926</v>
      </c>
      <c r="L130" s="5">
        <v>10</v>
      </c>
      <c r="M130" s="6">
        <f t="shared" ref="M130:M193" si="14">MAX(P130:T130)</f>
        <v>8</v>
      </c>
      <c r="N130" s="6" t="str">
        <f t="shared" ref="N130:N193" si="15">IF(M130&lt;=L130,"yes","OVER")</f>
        <v>yes</v>
      </c>
      <c r="O130" s="7"/>
      <c r="P130" s="8">
        <f t="shared" ref="P130:P193" si="16">IF(TRIM(G130)="",0,LEN(TRIM(G130))-LEN(SUBSTITUTE(TRIM(G130)," ",""))+1)</f>
        <v>8</v>
      </c>
      <c r="Q130" s="8">
        <f t="shared" ref="Q130:Q193" si="17">IF(TRIM(H130)="",0,LEN(TRIM(H130))-LEN(SUBSTITUTE(TRIM(H130)," ",""))+1)</f>
        <v>7</v>
      </c>
      <c r="R130" s="8">
        <f t="shared" ref="R130:R193" si="18">IF(TRIM(I130)="",0,LEN(TRIM(I130))-LEN(SUBSTITUTE(TRIM(I130)," ",""))+1)</f>
        <v>5</v>
      </c>
      <c r="S130" s="8">
        <f t="shared" ref="S130:S193" si="19">IF(TRIM(J130)="",0,LEN(TRIM(J130))-LEN(SUBSTITUTE(TRIM(J130)," ",""))+1)</f>
        <v>6</v>
      </c>
      <c r="T130" s="8">
        <f t="shared" ref="T130:T193" si="20">IF(TRIM(K130)="",0,LEN(TRIM(K130))-LEN(SUBSTITUTE(TRIM(K130)," ",""))+1)</f>
        <v>8</v>
      </c>
    </row>
    <row r="131" spans="1:20" ht="26.4" x14ac:dyDescent="0.3">
      <c r="A131" s="5" t="s">
        <v>927</v>
      </c>
      <c r="B131" s="5" t="s">
        <v>152</v>
      </c>
      <c r="C131" s="5" t="s">
        <v>696</v>
      </c>
      <c r="D131" s="5" t="s">
        <v>209</v>
      </c>
      <c r="E131" s="5">
        <v>2</v>
      </c>
      <c r="F131" s="5" t="s">
        <v>928</v>
      </c>
      <c r="G131" s="5" t="s">
        <v>929</v>
      </c>
      <c r="H131" s="5" t="s">
        <v>239</v>
      </c>
      <c r="I131" s="5" t="s">
        <v>930</v>
      </c>
      <c r="J131" s="5" t="s">
        <v>931</v>
      </c>
      <c r="K131" s="5" t="s">
        <v>932</v>
      </c>
      <c r="L131" s="5">
        <v>10</v>
      </c>
      <c r="M131" s="6">
        <f t="shared" si="14"/>
        <v>7</v>
      </c>
      <c r="N131" s="6" t="str">
        <f t="shared" si="15"/>
        <v>yes</v>
      </c>
      <c r="O131" s="7"/>
      <c r="P131" s="8">
        <f t="shared" si="16"/>
        <v>7</v>
      </c>
      <c r="Q131" s="8">
        <f t="shared" si="17"/>
        <v>7</v>
      </c>
      <c r="R131" s="8">
        <f t="shared" si="18"/>
        <v>5</v>
      </c>
      <c r="S131" s="8">
        <f t="shared" si="19"/>
        <v>6</v>
      </c>
      <c r="T131" s="8">
        <f t="shared" si="20"/>
        <v>7</v>
      </c>
    </row>
    <row r="132" spans="1:20" ht="26.4" x14ac:dyDescent="0.3">
      <c r="A132" s="5" t="s">
        <v>933</v>
      </c>
      <c r="B132" s="5" t="s">
        <v>152</v>
      </c>
      <c r="C132" s="5" t="s">
        <v>696</v>
      </c>
      <c r="D132" s="5" t="s">
        <v>209</v>
      </c>
      <c r="E132" s="5">
        <v>3</v>
      </c>
      <c r="F132" s="5" t="s">
        <v>934</v>
      </c>
      <c r="G132" s="5" t="s">
        <v>935</v>
      </c>
      <c r="H132" s="5" t="s">
        <v>936</v>
      </c>
      <c r="I132" s="5" t="s">
        <v>937</v>
      </c>
      <c r="J132" s="5" t="s">
        <v>938</v>
      </c>
      <c r="K132" s="5" t="s">
        <v>939</v>
      </c>
      <c r="L132" s="5">
        <v>10</v>
      </c>
      <c r="M132" s="6">
        <f t="shared" si="14"/>
        <v>7</v>
      </c>
      <c r="N132" s="6" t="str">
        <f t="shared" si="15"/>
        <v>yes</v>
      </c>
      <c r="O132" s="7"/>
      <c r="P132" s="8">
        <f t="shared" si="16"/>
        <v>6</v>
      </c>
      <c r="Q132" s="8">
        <f t="shared" si="17"/>
        <v>6</v>
      </c>
      <c r="R132" s="8">
        <f t="shared" si="18"/>
        <v>4</v>
      </c>
      <c r="S132" s="8">
        <f t="shared" si="19"/>
        <v>6</v>
      </c>
      <c r="T132" s="8">
        <f t="shared" si="20"/>
        <v>7</v>
      </c>
    </row>
    <row r="133" spans="1:20" ht="26.4" x14ac:dyDescent="0.3">
      <c r="A133" s="5" t="s">
        <v>940</v>
      </c>
      <c r="B133" s="5" t="s">
        <v>152</v>
      </c>
      <c r="C133" s="5" t="s">
        <v>696</v>
      </c>
      <c r="D133" s="5" t="s">
        <v>209</v>
      </c>
      <c r="E133" s="5">
        <v>4</v>
      </c>
      <c r="F133" s="5" t="s">
        <v>941</v>
      </c>
      <c r="G133" s="5" t="s">
        <v>942</v>
      </c>
      <c r="H133" s="5" t="s">
        <v>943</v>
      </c>
      <c r="I133" s="5" t="s">
        <v>944</v>
      </c>
      <c r="J133" s="5" t="s">
        <v>945</v>
      </c>
      <c r="K133" s="5" t="s">
        <v>946</v>
      </c>
      <c r="L133" s="5">
        <v>10</v>
      </c>
      <c r="M133" s="6">
        <f t="shared" si="14"/>
        <v>8</v>
      </c>
      <c r="N133" s="6" t="str">
        <f t="shared" si="15"/>
        <v>yes</v>
      </c>
      <c r="O133" s="7"/>
      <c r="P133" s="8">
        <f t="shared" si="16"/>
        <v>7</v>
      </c>
      <c r="Q133" s="8">
        <f t="shared" si="17"/>
        <v>7</v>
      </c>
      <c r="R133" s="8">
        <f t="shared" si="18"/>
        <v>8</v>
      </c>
      <c r="S133" s="8">
        <f t="shared" si="19"/>
        <v>7</v>
      </c>
      <c r="T133" s="8">
        <f t="shared" si="20"/>
        <v>8</v>
      </c>
    </row>
    <row r="134" spans="1:20" ht="26.4" x14ac:dyDescent="0.3">
      <c r="A134" s="5" t="s">
        <v>947</v>
      </c>
      <c r="B134" s="5" t="s">
        <v>181</v>
      </c>
      <c r="C134" s="5" t="s">
        <v>696</v>
      </c>
      <c r="D134" s="5" t="s">
        <v>209</v>
      </c>
      <c r="E134" s="5">
        <v>1</v>
      </c>
      <c r="F134" s="5" t="s">
        <v>948</v>
      </c>
      <c r="G134" s="5" t="s">
        <v>949</v>
      </c>
      <c r="H134" s="5" t="s">
        <v>950</v>
      </c>
      <c r="I134" s="5" t="s">
        <v>951</v>
      </c>
      <c r="J134" s="5" t="s">
        <v>952</v>
      </c>
      <c r="K134" s="5" t="s">
        <v>953</v>
      </c>
      <c r="L134" s="5">
        <v>10</v>
      </c>
      <c r="M134" s="6">
        <f t="shared" si="14"/>
        <v>7</v>
      </c>
      <c r="N134" s="6" t="str">
        <f t="shared" si="15"/>
        <v>yes</v>
      </c>
      <c r="O134" s="7"/>
      <c r="P134" s="8">
        <f t="shared" si="16"/>
        <v>6</v>
      </c>
      <c r="Q134" s="8">
        <f t="shared" si="17"/>
        <v>7</v>
      </c>
      <c r="R134" s="8">
        <f t="shared" si="18"/>
        <v>5</v>
      </c>
      <c r="S134" s="8">
        <f t="shared" si="19"/>
        <v>7</v>
      </c>
      <c r="T134" s="8">
        <f t="shared" si="20"/>
        <v>7</v>
      </c>
    </row>
    <row r="135" spans="1:20" ht="26.4" x14ac:dyDescent="0.3">
      <c r="A135" s="5" t="s">
        <v>954</v>
      </c>
      <c r="B135" s="5" t="s">
        <v>181</v>
      </c>
      <c r="C135" s="5" t="s">
        <v>696</v>
      </c>
      <c r="D135" s="5" t="s">
        <v>209</v>
      </c>
      <c r="E135" s="5">
        <v>2</v>
      </c>
      <c r="F135" s="5" t="s">
        <v>955</v>
      </c>
      <c r="G135" s="5" t="s">
        <v>956</v>
      </c>
      <c r="H135" s="5" t="s">
        <v>957</v>
      </c>
      <c r="I135" s="5" t="s">
        <v>958</v>
      </c>
      <c r="J135" s="5" t="s">
        <v>959</v>
      </c>
      <c r="K135" s="5" t="s">
        <v>960</v>
      </c>
      <c r="L135" s="5">
        <v>10</v>
      </c>
      <c r="M135" s="6">
        <f t="shared" si="14"/>
        <v>8</v>
      </c>
      <c r="N135" s="6" t="str">
        <f t="shared" si="15"/>
        <v>yes</v>
      </c>
      <c r="O135" s="7"/>
      <c r="P135" s="8">
        <f t="shared" si="16"/>
        <v>6</v>
      </c>
      <c r="Q135" s="8">
        <f t="shared" si="17"/>
        <v>4</v>
      </c>
      <c r="R135" s="8">
        <f t="shared" si="18"/>
        <v>4</v>
      </c>
      <c r="S135" s="8">
        <f t="shared" si="19"/>
        <v>8</v>
      </c>
      <c r="T135" s="8">
        <f t="shared" si="20"/>
        <v>8</v>
      </c>
    </row>
    <row r="136" spans="1:20" ht="26.4" x14ac:dyDescent="0.3">
      <c r="A136" s="5" t="s">
        <v>961</v>
      </c>
      <c r="B136" s="5" t="s">
        <v>181</v>
      </c>
      <c r="C136" s="5" t="s">
        <v>696</v>
      </c>
      <c r="D136" s="5" t="s">
        <v>209</v>
      </c>
      <c r="E136" s="5">
        <v>3</v>
      </c>
      <c r="F136" s="5" t="s">
        <v>962</v>
      </c>
      <c r="G136" s="5" t="s">
        <v>963</v>
      </c>
      <c r="H136" s="5" t="s">
        <v>964</v>
      </c>
      <c r="I136" s="5" t="s">
        <v>965</v>
      </c>
      <c r="J136" s="5" t="s">
        <v>966</v>
      </c>
      <c r="K136" s="5" t="s">
        <v>967</v>
      </c>
      <c r="L136" s="5">
        <v>10</v>
      </c>
      <c r="M136" s="6">
        <f t="shared" si="14"/>
        <v>7</v>
      </c>
      <c r="N136" s="6" t="str">
        <f t="shared" si="15"/>
        <v>yes</v>
      </c>
      <c r="O136" s="7"/>
      <c r="P136" s="8">
        <f t="shared" si="16"/>
        <v>6</v>
      </c>
      <c r="Q136" s="8">
        <f t="shared" si="17"/>
        <v>6</v>
      </c>
      <c r="R136" s="8">
        <f t="shared" si="18"/>
        <v>5</v>
      </c>
      <c r="S136" s="8">
        <f t="shared" si="19"/>
        <v>6</v>
      </c>
      <c r="T136" s="8">
        <f t="shared" si="20"/>
        <v>7</v>
      </c>
    </row>
    <row r="137" spans="1:20" ht="26.4" x14ac:dyDescent="0.3">
      <c r="A137" s="5" t="s">
        <v>968</v>
      </c>
      <c r="B137" s="5" t="s">
        <v>181</v>
      </c>
      <c r="C137" s="5" t="s">
        <v>696</v>
      </c>
      <c r="D137" s="5" t="s">
        <v>209</v>
      </c>
      <c r="E137" s="5">
        <v>4</v>
      </c>
      <c r="F137" s="5" t="s">
        <v>969</v>
      </c>
      <c r="G137" s="5" t="s">
        <v>970</v>
      </c>
      <c r="H137" s="5" t="s">
        <v>971</v>
      </c>
      <c r="I137" s="5" t="s">
        <v>972</v>
      </c>
      <c r="J137" s="5" t="s">
        <v>973</v>
      </c>
      <c r="K137" s="5" t="s">
        <v>974</v>
      </c>
      <c r="L137" s="5">
        <v>10</v>
      </c>
      <c r="M137" s="6">
        <f t="shared" si="14"/>
        <v>7</v>
      </c>
      <c r="N137" s="6" t="str">
        <f t="shared" si="15"/>
        <v>yes</v>
      </c>
      <c r="O137" s="7"/>
      <c r="P137" s="8">
        <f t="shared" si="16"/>
        <v>5</v>
      </c>
      <c r="Q137" s="8">
        <f t="shared" si="17"/>
        <v>6</v>
      </c>
      <c r="R137" s="8">
        <f t="shared" si="18"/>
        <v>7</v>
      </c>
      <c r="S137" s="8">
        <f t="shared" si="19"/>
        <v>6</v>
      </c>
      <c r="T137" s="8">
        <f t="shared" si="20"/>
        <v>5</v>
      </c>
    </row>
    <row r="138" spans="1:20" ht="26.4" x14ac:dyDescent="0.3">
      <c r="A138" s="5" t="s">
        <v>975</v>
      </c>
      <c r="B138" s="5" t="s">
        <v>93</v>
      </c>
      <c r="C138" s="5" t="s">
        <v>696</v>
      </c>
      <c r="D138" s="5" t="s">
        <v>312</v>
      </c>
      <c r="E138" s="5">
        <v>1</v>
      </c>
      <c r="F138" s="5" t="s">
        <v>976</v>
      </c>
      <c r="G138" s="5" t="s">
        <v>977</v>
      </c>
      <c r="H138" s="5" t="s">
        <v>978</v>
      </c>
      <c r="I138" s="5" t="s">
        <v>979</v>
      </c>
      <c r="J138" s="5" t="s">
        <v>980</v>
      </c>
      <c r="K138" s="5" t="s">
        <v>981</v>
      </c>
      <c r="L138" s="5">
        <v>10</v>
      </c>
      <c r="M138" s="6">
        <f t="shared" si="14"/>
        <v>9</v>
      </c>
      <c r="N138" s="6" t="str">
        <f t="shared" si="15"/>
        <v>yes</v>
      </c>
      <c r="O138" s="7"/>
      <c r="P138" s="8">
        <f t="shared" si="16"/>
        <v>8</v>
      </c>
      <c r="Q138" s="8">
        <f t="shared" si="17"/>
        <v>7</v>
      </c>
      <c r="R138" s="8">
        <f t="shared" si="18"/>
        <v>7</v>
      </c>
      <c r="S138" s="8">
        <f t="shared" si="19"/>
        <v>8</v>
      </c>
      <c r="T138" s="8">
        <f t="shared" si="20"/>
        <v>9</v>
      </c>
    </row>
    <row r="139" spans="1:20" ht="26.4" x14ac:dyDescent="0.3">
      <c r="A139" s="5" t="s">
        <v>982</v>
      </c>
      <c r="B139" s="5" t="s">
        <v>93</v>
      </c>
      <c r="C139" s="5" t="s">
        <v>696</v>
      </c>
      <c r="D139" s="5" t="s">
        <v>312</v>
      </c>
      <c r="E139" s="5">
        <v>2</v>
      </c>
      <c r="F139" s="5" t="s">
        <v>983</v>
      </c>
      <c r="G139" s="5" t="s">
        <v>984</v>
      </c>
      <c r="H139" s="5" t="s">
        <v>985</v>
      </c>
      <c r="I139" s="5" t="s">
        <v>986</v>
      </c>
      <c r="J139" s="5" t="s">
        <v>987</v>
      </c>
      <c r="K139" s="5" t="s">
        <v>988</v>
      </c>
      <c r="L139" s="5">
        <v>10</v>
      </c>
      <c r="M139" s="6">
        <f t="shared" si="14"/>
        <v>8</v>
      </c>
      <c r="N139" s="6" t="str">
        <f t="shared" si="15"/>
        <v>yes</v>
      </c>
      <c r="O139" s="7"/>
      <c r="P139" s="8">
        <f t="shared" si="16"/>
        <v>8</v>
      </c>
      <c r="Q139" s="8">
        <f t="shared" si="17"/>
        <v>6</v>
      </c>
      <c r="R139" s="8">
        <f t="shared" si="18"/>
        <v>7</v>
      </c>
      <c r="S139" s="8">
        <f t="shared" si="19"/>
        <v>6</v>
      </c>
      <c r="T139" s="8">
        <f t="shared" si="20"/>
        <v>7</v>
      </c>
    </row>
    <row r="140" spans="1:20" ht="26.4" x14ac:dyDescent="0.3">
      <c r="A140" s="5" t="s">
        <v>989</v>
      </c>
      <c r="B140" s="5" t="s">
        <v>93</v>
      </c>
      <c r="C140" s="5" t="s">
        <v>696</v>
      </c>
      <c r="D140" s="5" t="s">
        <v>312</v>
      </c>
      <c r="E140" s="5">
        <v>3</v>
      </c>
      <c r="F140" s="5" t="s">
        <v>990</v>
      </c>
      <c r="G140" s="5" t="s">
        <v>991</v>
      </c>
      <c r="H140" s="5" t="s">
        <v>992</v>
      </c>
      <c r="I140" s="5" t="s">
        <v>993</v>
      </c>
      <c r="J140" s="5" t="s">
        <v>994</v>
      </c>
      <c r="K140" s="5" t="s">
        <v>995</v>
      </c>
      <c r="L140" s="5">
        <v>10</v>
      </c>
      <c r="M140" s="6">
        <f t="shared" si="14"/>
        <v>7</v>
      </c>
      <c r="N140" s="6" t="str">
        <f t="shared" si="15"/>
        <v>yes</v>
      </c>
      <c r="O140" s="7"/>
      <c r="P140" s="8">
        <f t="shared" si="16"/>
        <v>6</v>
      </c>
      <c r="Q140" s="8">
        <f t="shared" si="17"/>
        <v>5</v>
      </c>
      <c r="R140" s="8">
        <f t="shared" si="18"/>
        <v>7</v>
      </c>
      <c r="S140" s="8">
        <f t="shared" si="19"/>
        <v>7</v>
      </c>
      <c r="T140" s="8">
        <f t="shared" si="20"/>
        <v>7</v>
      </c>
    </row>
    <row r="141" spans="1:20" ht="26.4" x14ac:dyDescent="0.3">
      <c r="A141" s="5" t="s">
        <v>996</v>
      </c>
      <c r="B141" s="5" t="s">
        <v>93</v>
      </c>
      <c r="C141" s="5" t="s">
        <v>696</v>
      </c>
      <c r="D141" s="5" t="s">
        <v>312</v>
      </c>
      <c r="E141" s="5">
        <v>4</v>
      </c>
      <c r="F141" s="5" t="s">
        <v>997</v>
      </c>
      <c r="G141" s="5" t="s">
        <v>998</v>
      </c>
      <c r="H141" s="5" t="s">
        <v>999</v>
      </c>
      <c r="I141" s="5" t="s">
        <v>1000</v>
      </c>
      <c r="J141" s="5" t="s">
        <v>1001</v>
      </c>
      <c r="K141" s="5" t="s">
        <v>1002</v>
      </c>
      <c r="L141" s="5">
        <v>10</v>
      </c>
      <c r="M141" s="6">
        <f t="shared" si="14"/>
        <v>8</v>
      </c>
      <c r="N141" s="6" t="str">
        <f t="shared" si="15"/>
        <v>yes</v>
      </c>
      <c r="O141" s="7"/>
      <c r="P141" s="8">
        <f t="shared" si="16"/>
        <v>5</v>
      </c>
      <c r="Q141" s="8">
        <f t="shared" si="17"/>
        <v>6</v>
      </c>
      <c r="R141" s="8">
        <f t="shared" si="18"/>
        <v>7</v>
      </c>
      <c r="S141" s="8">
        <f t="shared" si="19"/>
        <v>8</v>
      </c>
      <c r="T141" s="8">
        <f t="shared" si="20"/>
        <v>6</v>
      </c>
    </row>
    <row r="142" spans="1:20" ht="26.4" x14ac:dyDescent="0.3">
      <c r="A142" s="5" t="s">
        <v>1003</v>
      </c>
      <c r="B142" s="5" t="s">
        <v>123</v>
      </c>
      <c r="C142" s="5" t="s">
        <v>696</v>
      </c>
      <c r="D142" s="5" t="s">
        <v>312</v>
      </c>
      <c r="E142" s="5">
        <v>1</v>
      </c>
      <c r="F142" s="5" t="s">
        <v>1004</v>
      </c>
      <c r="G142" s="5" t="s">
        <v>1005</v>
      </c>
      <c r="H142" s="5" t="s">
        <v>1006</v>
      </c>
      <c r="I142" s="5" t="s">
        <v>1007</v>
      </c>
      <c r="J142" s="5" t="s">
        <v>1008</v>
      </c>
      <c r="K142" s="5" t="s">
        <v>1009</v>
      </c>
      <c r="L142" s="5">
        <v>10</v>
      </c>
      <c r="M142" s="6">
        <f t="shared" si="14"/>
        <v>7</v>
      </c>
      <c r="N142" s="6" t="str">
        <f t="shared" si="15"/>
        <v>yes</v>
      </c>
      <c r="O142" s="7"/>
      <c r="P142" s="8">
        <f t="shared" si="16"/>
        <v>6</v>
      </c>
      <c r="Q142" s="8">
        <f t="shared" si="17"/>
        <v>7</v>
      </c>
      <c r="R142" s="8">
        <f t="shared" si="18"/>
        <v>7</v>
      </c>
      <c r="S142" s="8">
        <f t="shared" si="19"/>
        <v>7</v>
      </c>
      <c r="T142" s="8">
        <f t="shared" si="20"/>
        <v>7</v>
      </c>
    </row>
    <row r="143" spans="1:20" ht="26.4" x14ac:dyDescent="0.3">
      <c r="A143" s="5" t="s">
        <v>1010</v>
      </c>
      <c r="B143" s="5" t="s">
        <v>123</v>
      </c>
      <c r="C143" s="5" t="s">
        <v>696</v>
      </c>
      <c r="D143" s="5" t="s">
        <v>312</v>
      </c>
      <c r="E143" s="5">
        <v>2</v>
      </c>
      <c r="F143" s="5" t="s">
        <v>1011</v>
      </c>
      <c r="G143" s="5" t="s">
        <v>1012</v>
      </c>
      <c r="H143" s="5" t="s">
        <v>1013</v>
      </c>
      <c r="I143" s="5" t="s">
        <v>1014</v>
      </c>
      <c r="J143" s="5" t="s">
        <v>1015</v>
      </c>
      <c r="K143" s="5" t="s">
        <v>1016</v>
      </c>
      <c r="L143" s="5">
        <v>10</v>
      </c>
      <c r="M143" s="6">
        <f t="shared" si="14"/>
        <v>7</v>
      </c>
      <c r="N143" s="6" t="str">
        <f t="shared" si="15"/>
        <v>yes</v>
      </c>
      <c r="O143" s="7"/>
      <c r="P143" s="8">
        <f t="shared" si="16"/>
        <v>5</v>
      </c>
      <c r="Q143" s="8">
        <f t="shared" si="17"/>
        <v>6</v>
      </c>
      <c r="R143" s="8">
        <f t="shared" si="18"/>
        <v>5</v>
      </c>
      <c r="S143" s="8">
        <f t="shared" si="19"/>
        <v>6</v>
      </c>
      <c r="T143" s="8">
        <f t="shared" si="20"/>
        <v>7</v>
      </c>
    </row>
    <row r="144" spans="1:20" ht="26.4" x14ac:dyDescent="0.3">
      <c r="A144" s="5" t="s">
        <v>1017</v>
      </c>
      <c r="B144" s="5" t="s">
        <v>123</v>
      </c>
      <c r="C144" s="5" t="s">
        <v>696</v>
      </c>
      <c r="D144" s="5" t="s">
        <v>312</v>
      </c>
      <c r="E144" s="5">
        <v>3</v>
      </c>
      <c r="F144" s="5" t="s">
        <v>1018</v>
      </c>
      <c r="G144" s="5" t="s">
        <v>1019</v>
      </c>
      <c r="H144" s="5" t="s">
        <v>1020</v>
      </c>
      <c r="I144" s="5" t="s">
        <v>1021</v>
      </c>
      <c r="J144" s="5" t="s">
        <v>1022</v>
      </c>
      <c r="K144" s="5" t="s">
        <v>1023</v>
      </c>
      <c r="L144" s="5">
        <v>10</v>
      </c>
      <c r="M144" s="6">
        <f t="shared" si="14"/>
        <v>6</v>
      </c>
      <c r="N144" s="6" t="str">
        <f t="shared" si="15"/>
        <v>yes</v>
      </c>
      <c r="O144" s="7"/>
      <c r="P144" s="8">
        <f t="shared" si="16"/>
        <v>5</v>
      </c>
      <c r="Q144" s="8">
        <f t="shared" si="17"/>
        <v>6</v>
      </c>
      <c r="R144" s="8">
        <f t="shared" si="18"/>
        <v>6</v>
      </c>
      <c r="S144" s="8">
        <f t="shared" si="19"/>
        <v>6</v>
      </c>
      <c r="T144" s="8">
        <f t="shared" si="20"/>
        <v>6</v>
      </c>
    </row>
    <row r="145" spans="1:20" ht="26.4" x14ac:dyDescent="0.3">
      <c r="A145" s="5" t="s">
        <v>1024</v>
      </c>
      <c r="B145" s="5" t="s">
        <v>123</v>
      </c>
      <c r="C145" s="5" t="s">
        <v>696</v>
      </c>
      <c r="D145" s="5" t="s">
        <v>312</v>
      </c>
      <c r="E145" s="5">
        <v>4</v>
      </c>
      <c r="F145" s="5" t="s">
        <v>1025</v>
      </c>
      <c r="G145" s="5" t="s">
        <v>1026</v>
      </c>
      <c r="H145" s="5" t="s">
        <v>1027</v>
      </c>
      <c r="I145" s="5" t="s">
        <v>1028</v>
      </c>
      <c r="J145" s="5" t="s">
        <v>1029</v>
      </c>
      <c r="K145" s="5" t="s">
        <v>1030</v>
      </c>
      <c r="L145" s="5">
        <v>10</v>
      </c>
      <c r="M145" s="6">
        <f t="shared" si="14"/>
        <v>7</v>
      </c>
      <c r="N145" s="6" t="str">
        <f t="shared" si="15"/>
        <v>yes</v>
      </c>
      <c r="O145" s="7"/>
      <c r="P145" s="8">
        <f t="shared" si="16"/>
        <v>6</v>
      </c>
      <c r="Q145" s="8">
        <f t="shared" si="17"/>
        <v>6</v>
      </c>
      <c r="R145" s="8">
        <f t="shared" si="18"/>
        <v>5</v>
      </c>
      <c r="S145" s="8">
        <f t="shared" si="19"/>
        <v>6</v>
      </c>
      <c r="T145" s="8">
        <f t="shared" si="20"/>
        <v>7</v>
      </c>
    </row>
    <row r="146" spans="1:20" ht="26.4" x14ac:dyDescent="0.3">
      <c r="A146" s="5" t="s">
        <v>1031</v>
      </c>
      <c r="B146" s="5" t="s">
        <v>152</v>
      </c>
      <c r="C146" s="5" t="s">
        <v>696</v>
      </c>
      <c r="D146" s="5" t="s">
        <v>312</v>
      </c>
      <c r="E146" s="5">
        <v>1</v>
      </c>
      <c r="F146" s="5" t="s">
        <v>1032</v>
      </c>
      <c r="G146" s="5" t="s">
        <v>1033</v>
      </c>
      <c r="H146" s="5" t="s">
        <v>1034</v>
      </c>
      <c r="I146" s="5" t="s">
        <v>1035</v>
      </c>
      <c r="J146" s="5" t="s">
        <v>1036</v>
      </c>
      <c r="K146" s="5" t="s">
        <v>1037</v>
      </c>
      <c r="L146" s="5">
        <v>10</v>
      </c>
      <c r="M146" s="6">
        <f t="shared" si="14"/>
        <v>5</v>
      </c>
      <c r="N146" s="6" t="str">
        <f t="shared" si="15"/>
        <v>yes</v>
      </c>
      <c r="O146" s="7"/>
      <c r="P146" s="8">
        <f t="shared" si="16"/>
        <v>4</v>
      </c>
      <c r="Q146" s="8">
        <f t="shared" si="17"/>
        <v>5</v>
      </c>
      <c r="R146" s="8">
        <f t="shared" si="18"/>
        <v>5</v>
      </c>
      <c r="S146" s="8">
        <f t="shared" si="19"/>
        <v>5</v>
      </c>
      <c r="T146" s="8">
        <f t="shared" si="20"/>
        <v>5</v>
      </c>
    </row>
    <row r="147" spans="1:20" ht="26.4" x14ac:dyDescent="0.3">
      <c r="A147" s="5" t="s">
        <v>1038</v>
      </c>
      <c r="B147" s="5" t="s">
        <v>152</v>
      </c>
      <c r="C147" s="5" t="s">
        <v>696</v>
      </c>
      <c r="D147" s="5" t="s">
        <v>312</v>
      </c>
      <c r="E147" s="5">
        <v>2</v>
      </c>
      <c r="F147" s="5" t="s">
        <v>1039</v>
      </c>
      <c r="G147" s="5" t="s">
        <v>1040</v>
      </c>
      <c r="H147" s="5" t="s">
        <v>279</v>
      </c>
      <c r="I147" s="5" t="s">
        <v>1041</v>
      </c>
      <c r="J147" s="5" t="s">
        <v>1042</v>
      </c>
      <c r="K147" s="5" t="s">
        <v>1043</v>
      </c>
      <c r="L147" s="5">
        <v>10</v>
      </c>
      <c r="M147" s="6">
        <f t="shared" si="14"/>
        <v>6</v>
      </c>
      <c r="N147" s="6" t="str">
        <f t="shared" si="15"/>
        <v>yes</v>
      </c>
      <c r="O147" s="7"/>
      <c r="P147" s="8">
        <f t="shared" si="16"/>
        <v>5</v>
      </c>
      <c r="Q147" s="8">
        <f t="shared" si="17"/>
        <v>6</v>
      </c>
      <c r="R147" s="8">
        <f t="shared" si="18"/>
        <v>5</v>
      </c>
      <c r="S147" s="8">
        <f t="shared" si="19"/>
        <v>6</v>
      </c>
      <c r="T147" s="8">
        <f t="shared" si="20"/>
        <v>5</v>
      </c>
    </row>
    <row r="148" spans="1:20" ht="26.4" x14ac:dyDescent="0.3">
      <c r="A148" s="5" t="s">
        <v>1044</v>
      </c>
      <c r="B148" s="5" t="s">
        <v>152</v>
      </c>
      <c r="C148" s="5" t="s">
        <v>696</v>
      </c>
      <c r="D148" s="5" t="s">
        <v>312</v>
      </c>
      <c r="E148" s="5">
        <v>3</v>
      </c>
      <c r="F148" s="5" t="s">
        <v>1045</v>
      </c>
      <c r="G148" s="5" t="s">
        <v>1046</v>
      </c>
      <c r="H148" s="5" t="s">
        <v>1047</v>
      </c>
      <c r="I148" s="5" t="s">
        <v>1048</v>
      </c>
      <c r="J148" s="5" t="s">
        <v>1049</v>
      </c>
      <c r="K148" s="5" t="s">
        <v>1050</v>
      </c>
      <c r="L148" s="5">
        <v>10</v>
      </c>
      <c r="M148" s="6">
        <f t="shared" si="14"/>
        <v>7</v>
      </c>
      <c r="N148" s="6" t="str">
        <f t="shared" si="15"/>
        <v>yes</v>
      </c>
      <c r="O148" s="7"/>
      <c r="P148" s="8">
        <f t="shared" si="16"/>
        <v>7</v>
      </c>
      <c r="Q148" s="8">
        <f t="shared" si="17"/>
        <v>5</v>
      </c>
      <c r="R148" s="8">
        <f t="shared" si="18"/>
        <v>4</v>
      </c>
      <c r="S148" s="8">
        <f t="shared" si="19"/>
        <v>7</v>
      </c>
      <c r="T148" s="8">
        <f t="shared" si="20"/>
        <v>7</v>
      </c>
    </row>
    <row r="149" spans="1:20" ht="26.4" x14ac:dyDescent="0.3">
      <c r="A149" s="5" t="s">
        <v>1051</v>
      </c>
      <c r="B149" s="5" t="s">
        <v>152</v>
      </c>
      <c r="C149" s="5" t="s">
        <v>696</v>
      </c>
      <c r="D149" s="5" t="s">
        <v>312</v>
      </c>
      <c r="E149" s="5">
        <v>4</v>
      </c>
      <c r="F149" s="5" t="s">
        <v>1052</v>
      </c>
      <c r="G149" s="5" t="s">
        <v>1053</v>
      </c>
      <c r="H149" s="5" t="s">
        <v>1054</v>
      </c>
      <c r="I149" s="5" t="s">
        <v>1055</v>
      </c>
      <c r="J149" s="5" t="s">
        <v>1056</v>
      </c>
      <c r="K149" s="5" t="s">
        <v>1057</v>
      </c>
      <c r="L149" s="5">
        <v>10</v>
      </c>
      <c r="M149" s="6">
        <f t="shared" si="14"/>
        <v>6</v>
      </c>
      <c r="N149" s="6" t="str">
        <f t="shared" si="15"/>
        <v>yes</v>
      </c>
      <c r="O149" s="7"/>
      <c r="P149" s="8">
        <f t="shared" si="16"/>
        <v>5</v>
      </c>
      <c r="Q149" s="8">
        <f t="shared" si="17"/>
        <v>5</v>
      </c>
      <c r="R149" s="8">
        <f t="shared" si="18"/>
        <v>5</v>
      </c>
      <c r="S149" s="8">
        <f t="shared" si="19"/>
        <v>5</v>
      </c>
      <c r="T149" s="8">
        <f t="shared" si="20"/>
        <v>6</v>
      </c>
    </row>
    <row r="150" spans="1:20" ht="26.4" x14ac:dyDescent="0.3">
      <c r="A150" s="5" t="s">
        <v>1058</v>
      </c>
      <c r="B150" s="5" t="s">
        <v>181</v>
      </c>
      <c r="C150" s="5" t="s">
        <v>696</v>
      </c>
      <c r="D150" s="5" t="s">
        <v>312</v>
      </c>
      <c r="E150" s="5">
        <v>1</v>
      </c>
      <c r="F150" s="5" t="s">
        <v>1059</v>
      </c>
      <c r="G150" s="5" t="s">
        <v>1060</v>
      </c>
      <c r="H150" s="5" t="s">
        <v>1061</v>
      </c>
      <c r="I150" s="5" t="s">
        <v>1062</v>
      </c>
      <c r="J150" s="5" t="s">
        <v>1063</v>
      </c>
      <c r="K150" s="5" t="s">
        <v>1064</v>
      </c>
      <c r="L150" s="5">
        <v>10</v>
      </c>
      <c r="M150" s="6">
        <f t="shared" si="14"/>
        <v>6</v>
      </c>
      <c r="N150" s="6" t="str">
        <f t="shared" si="15"/>
        <v>yes</v>
      </c>
      <c r="O150" s="7"/>
      <c r="P150" s="8">
        <f t="shared" si="16"/>
        <v>5</v>
      </c>
      <c r="Q150" s="8">
        <f t="shared" si="17"/>
        <v>4</v>
      </c>
      <c r="R150" s="8">
        <f t="shared" si="18"/>
        <v>5</v>
      </c>
      <c r="S150" s="8">
        <f t="shared" si="19"/>
        <v>6</v>
      </c>
      <c r="T150" s="8">
        <f t="shared" si="20"/>
        <v>6</v>
      </c>
    </row>
    <row r="151" spans="1:20" ht="26.4" x14ac:dyDescent="0.3">
      <c r="A151" s="5" t="s">
        <v>1065</v>
      </c>
      <c r="B151" s="5" t="s">
        <v>181</v>
      </c>
      <c r="C151" s="5" t="s">
        <v>696</v>
      </c>
      <c r="D151" s="5" t="s">
        <v>312</v>
      </c>
      <c r="E151" s="5">
        <v>2</v>
      </c>
      <c r="F151" s="5" t="s">
        <v>1066</v>
      </c>
      <c r="G151" s="5" t="s">
        <v>1067</v>
      </c>
      <c r="H151" s="5" t="s">
        <v>1068</v>
      </c>
      <c r="I151" s="5" t="s">
        <v>1069</v>
      </c>
      <c r="J151" s="5" t="s">
        <v>1070</v>
      </c>
      <c r="K151" s="5" t="s">
        <v>1071</v>
      </c>
      <c r="L151" s="5">
        <v>10</v>
      </c>
      <c r="M151" s="6">
        <f t="shared" si="14"/>
        <v>8</v>
      </c>
      <c r="N151" s="6" t="str">
        <f t="shared" si="15"/>
        <v>yes</v>
      </c>
      <c r="O151" s="7"/>
      <c r="P151" s="8">
        <f t="shared" si="16"/>
        <v>6</v>
      </c>
      <c r="Q151" s="8">
        <f t="shared" si="17"/>
        <v>6</v>
      </c>
      <c r="R151" s="8">
        <f t="shared" si="18"/>
        <v>4</v>
      </c>
      <c r="S151" s="8">
        <f t="shared" si="19"/>
        <v>8</v>
      </c>
      <c r="T151" s="8">
        <f t="shared" si="20"/>
        <v>7</v>
      </c>
    </row>
    <row r="152" spans="1:20" ht="26.4" x14ac:dyDescent="0.3">
      <c r="A152" s="5" t="s">
        <v>1072</v>
      </c>
      <c r="B152" s="5" t="s">
        <v>181</v>
      </c>
      <c r="C152" s="5" t="s">
        <v>696</v>
      </c>
      <c r="D152" s="5" t="s">
        <v>312</v>
      </c>
      <c r="E152" s="5">
        <v>3</v>
      </c>
      <c r="F152" s="5" t="s">
        <v>1073</v>
      </c>
      <c r="G152" s="5" t="s">
        <v>1074</v>
      </c>
      <c r="H152" s="5" t="s">
        <v>1075</v>
      </c>
      <c r="I152" s="5" t="s">
        <v>1076</v>
      </c>
      <c r="J152" s="5" t="s">
        <v>1077</v>
      </c>
      <c r="K152" s="5" t="s">
        <v>1078</v>
      </c>
      <c r="L152" s="5">
        <v>10</v>
      </c>
      <c r="M152" s="6">
        <f t="shared" si="14"/>
        <v>8</v>
      </c>
      <c r="N152" s="6" t="str">
        <f t="shared" si="15"/>
        <v>yes</v>
      </c>
      <c r="O152" s="7"/>
      <c r="P152" s="8">
        <f t="shared" si="16"/>
        <v>6</v>
      </c>
      <c r="Q152" s="8">
        <f t="shared" si="17"/>
        <v>5</v>
      </c>
      <c r="R152" s="8">
        <f t="shared" si="18"/>
        <v>5</v>
      </c>
      <c r="S152" s="8">
        <f t="shared" si="19"/>
        <v>8</v>
      </c>
      <c r="T152" s="8">
        <f t="shared" si="20"/>
        <v>8</v>
      </c>
    </row>
    <row r="153" spans="1:20" ht="26.4" x14ac:dyDescent="0.3">
      <c r="A153" s="5" t="s">
        <v>1079</v>
      </c>
      <c r="B153" s="5" t="s">
        <v>181</v>
      </c>
      <c r="C153" s="5" t="s">
        <v>696</v>
      </c>
      <c r="D153" s="5" t="s">
        <v>312</v>
      </c>
      <c r="E153" s="5">
        <v>4</v>
      </c>
      <c r="F153" s="5" t="s">
        <v>1080</v>
      </c>
      <c r="G153" s="5" t="s">
        <v>1081</v>
      </c>
      <c r="H153" s="5" t="s">
        <v>1082</v>
      </c>
      <c r="I153" s="5" t="s">
        <v>1083</v>
      </c>
      <c r="J153" s="5" t="s">
        <v>1084</v>
      </c>
      <c r="K153" s="5" t="s">
        <v>1085</v>
      </c>
      <c r="L153" s="5">
        <v>10</v>
      </c>
      <c r="M153" s="6">
        <f t="shared" si="14"/>
        <v>7</v>
      </c>
      <c r="N153" s="6" t="str">
        <f t="shared" si="15"/>
        <v>yes</v>
      </c>
      <c r="O153" s="7"/>
      <c r="P153" s="8">
        <f t="shared" si="16"/>
        <v>7</v>
      </c>
      <c r="Q153" s="8">
        <f t="shared" si="17"/>
        <v>5</v>
      </c>
      <c r="R153" s="8">
        <f t="shared" si="18"/>
        <v>6</v>
      </c>
      <c r="S153" s="8">
        <f t="shared" si="19"/>
        <v>5</v>
      </c>
      <c r="T153" s="8">
        <f t="shared" si="20"/>
        <v>6</v>
      </c>
    </row>
    <row r="154" spans="1:20" ht="26.4" x14ac:dyDescent="0.3">
      <c r="A154" s="5" t="s">
        <v>1086</v>
      </c>
      <c r="B154" s="5" t="s">
        <v>93</v>
      </c>
      <c r="C154" s="5" t="s">
        <v>696</v>
      </c>
      <c r="D154" s="5" t="s">
        <v>414</v>
      </c>
      <c r="E154" s="5">
        <v>1</v>
      </c>
      <c r="F154" s="5" t="s">
        <v>1087</v>
      </c>
      <c r="G154" s="5" t="s">
        <v>1088</v>
      </c>
      <c r="H154" s="5" t="s">
        <v>1089</v>
      </c>
      <c r="I154" s="5" t="s">
        <v>1090</v>
      </c>
      <c r="J154" s="5" t="s">
        <v>1091</v>
      </c>
      <c r="K154" s="5" t="s">
        <v>1092</v>
      </c>
      <c r="L154" s="5">
        <v>10</v>
      </c>
      <c r="M154" s="6">
        <f t="shared" si="14"/>
        <v>7</v>
      </c>
      <c r="N154" s="6" t="str">
        <f t="shared" si="15"/>
        <v>yes</v>
      </c>
      <c r="O154" s="7"/>
      <c r="P154" s="8">
        <f t="shared" si="16"/>
        <v>7</v>
      </c>
      <c r="Q154" s="8">
        <f t="shared" si="17"/>
        <v>6</v>
      </c>
      <c r="R154" s="8">
        <f t="shared" si="18"/>
        <v>7</v>
      </c>
      <c r="S154" s="8">
        <f t="shared" si="19"/>
        <v>5</v>
      </c>
      <c r="T154" s="8">
        <f t="shared" si="20"/>
        <v>7</v>
      </c>
    </row>
    <row r="155" spans="1:20" ht="26.4" x14ac:dyDescent="0.3">
      <c r="A155" s="5" t="s">
        <v>1093</v>
      </c>
      <c r="B155" s="5" t="s">
        <v>93</v>
      </c>
      <c r="C155" s="5" t="s">
        <v>696</v>
      </c>
      <c r="D155" s="5" t="s">
        <v>414</v>
      </c>
      <c r="E155" s="5">
        <v>2</v>
      </c>
      <c r="F155" s="5" t="s">
        <v>1094</v>
      </c>
      <c r="G155" s="5" t="s">
        <v>1095</v>
      </c>
      <c r="H155" s="5" t="s">
        <v>1096</v>
      </c>
      <c r="I155" s="5" t="s">
        <v>1097</v>
      </c>
      <c r="J155" s="5" t="s">
        <v>1098</v>
      </c>
      <c r="K155" s="5" t="s">
        <v>1099</v>
      </c>
      <c r="L155" s="5">
        <v>10</v>
      </c>
      <c r="M155" s="6">
        <f t="shared" si="14"/>
        <v>7</v>
      </c>
      <c r="N155" s="6" t="str">
        <f t="shared" si="15"/>
        <v>yes</v>
      </c>
      <c r="O155" s="7"/>
      <c r="P155" s="8">
        <f t="shared" si="16"/>
        <v>6</v>
      </c>
      <c r="Q155" s="8">
        <f t="shared" si="17"/>
        <v>5</v>
      </c>
      <c r="R155" s="8">
        <f t="shared" si="18"/>
        <v>5</v>
      </c>
      <c r="S155" s="8">
        <f t="shared" si="19"/>
        <v>7</v>
      </c>
      <c r="T155" s="8">
        <f t="shared" si="20"/>
        <v>7</v>
      </c>
    </row>
    <row r="156" spans="1:20" ht="26.4" x14ac:dyDescent="0.3">
      <c r="A156" s="5" t="s">
        <v>1100</v>
      </c>
      <c r="B156" s="5" t="s">
        <v>93</v>
      </c>
      <c r="C156" s="5" t="s">
        <v>696</v>
      </c>
      <c r="D156" s="5" t="s">
        <v>414</v>
      </c>
      <c r="E156" s="5">
        <v>3</v>
      </c>
      <c r="F156" s="5" t="s">
        <v>1101</v>
      </c>
      <c r="G156" s="5" t="s">
        <v>1102</v>
      </c>
      <c r="H156" s="5" t="s">
        <v>1103</v>
      </c>
      <c r="I156" s="5" t="s">
        <v>1104</v>
      </c>
      <c r="J156" s="5" t="s">
        <v>1105</v>
      </c>
      <c r="K156" s="5" t="s">
        <v>1106</v>
      </c>
      <c r="L156" s="5">
        <v>10</v>
      </c>
      <c r="M156" s="6">
        <f t="shared" si="14"/>
        <v>7</v>
      </c>
      <c r="N156" s="6" t="str">
        <f t="shared" si="15"/>
        <v>yes</v>
      </c>
      <c r="O156" s="7"/>
      <c r="P156" s="8">
        <f t="shared" si="16"/>
        <v>5</v>
      </c>
      <c r="Q156" s="8">
        <f t="shared" si="17"/>
        <v>7</v>
      </c>
      <c r="R156" s="8">
        <f t="shared" si="18"/>
        <v>4</v>
      </c>
      <c r="S156" s="8">
        <f t="shared" si="19"/>
        <v>6</v>
      </c>
      <c r="T156" s="8">
        <f t="shared" si="20"/>
        <v>7</v>
      </c>
    </row>
    <row r="157" spans="1:20" ht="26.4" x14ac:dyDescent="0.3">
      <c r="A157" s="5" t="s">
        <v>1107</v>
      </c>
      <c r="B157" s="5" t="s">
        <v>93</v>
      </c>
      <c r="C157" s="5" t="s">
        <v>696</v>
      </c>
      <c r="D157" s="5" t="s">
        <v>414</v>
      </c>
      <c r="E157" s="5">
        <v>4</v>
      </c>
      <c r="F157" s="5" t="s">
        <v>1108</v>
      </c>
      <c r="G157" s="5" t="s">
        <v>1109</v>
      </c>
      <c r="H157" s="5" t="s">
        <v>1110</v>
      </c>
      <c r="I157" s="5" t="s">
        <v>1111</v>
      </c>
      <c r="J157" s="5" t="s">
        <v>1112</v>
      </c>
      <c r="K157" s="5" t="s">
        <v>1113</v>
      </c>
      <c r="L157" s="5">
        <v>10</v>
      </c>
      <c r="M157" s="6">
        <f t="shared" si="14"/>
        <v>8</v>
      </c>
      <c r="N157" s="6" t="str">
        <f t="shared" si="15"/>
        <v>yes</v>
      </c>
      <c r="O157" s="7"/>
      <c r="P157" s="8">
        <f t="shared" si="16"/>
        <v>6</v>
      </c>
      <c r="Q157" s="8">
        <f t="shared" si="17"/>
        <v>6</v>
      </c>
      <c r="R157" s="8">
        <f t="shared" si="18"/>
        <v>5</v>
      </c>
      <c r="S157" s="8">
        <f t="shared" si="19"/>
        <v>8</v>
      </c>
      <c r="T157" s="8">
        <f t="shared" si="20"/>
        <v>7</v>
      </c>
    </row>
    <row r="158" spans="1:20" ht="26.4" x14ac:dyDescent="0.3">
      <c r="A158" s="5" t="s">
        <v>1114</v>
      </c>
      <c r="B158" s="5" t="s">
        <v>123</v>
      </c>
      <c r="C158" s="5" t="s">
        <v>696</v>
      </c>
      <c r="D158" s="5" t="s">
        <v>414</v>
      </c>
      <c r="E158" s="5">
        <v>1</v>
      </c>
      <c r="F158" s="5" t="s">
        <v>1115</v>
      </c>
      <c r="G158" s="5" t="s">
        <v>1116</v>
      </c>
      <c r="H158" s="5" t="s">
        <v>1117</v>
      </c>
      <c r="I158" s="5" t="s">
        <v>1118</v>
      </c>
      <c r="J158" s="5" t="s">
        <v>1119</v>
      </c>
      <c r="K158" s="5" t="s">
        <v>1120</v>
      </c>
      <c r="L158" s="5">
        <v>10</v>
      </c>
      <c r="M158" s="6">
        <f t="shared" si="14"/>
        <v>7</v>
      </c>
      <c r="N158" s="6" t="str">
        <f t="shared" si="15"/>
        <v>yes</v>
      </c>
      <c r="O158" s="7"/>
      <c r="P158" s="8">
        <f t="shared" si="16"/>
        <v>7</v>
      </c>
      <c r="Q158" s="8">
        <f t="shared" si="17"/>
        <v>6</v>
      </c>
      <c r="R158" s="8">
        <f t="shared" si="18"/>
        <v>5</v>
      </c>
      <c r="S158" s="8">
        <f t="shared" si="19"/>
        <v>6</v>
      </c>
      <c r="T158" s="8">
        <f t="shared" si="20"/>
        <v>7</v>
      </c>
    </row>
    <row r="159" spans="1:20" ht="26.4" x14ac:dyDescent="0.3">
      <c r="A159" s="5" t="s">
        <v>1121</v>
      </c>
      <c r="B159" s="5" t="s">
        <v>123</v>
      </c>
      <c r="C159" s="5" t="s">
        <v>696</v>
      </c>
      <c r="D159" s="5" t="s">
        <v>414</v>
      </c>
      <c r="E159" s="5">
        <v>2</v>
      </c>
      <c r="F159" s="5" t="s">
        <v>1122</v>
      </c>
      <c r="G159" s="5" t="s">
        <v>1123</v>
      </c>
      <c r="H159" s="5" t="s">
        <v>1124</v>
      </c>
      <c r="I159" s="5" t="s">
        <v>1125</v>
      </c>
      <c r="J159" s="5" t="s">
        <v>1126</v>
      </c>
      <c r="K159" s="5" t="s">
        <v>1127</v>
      </c>
      <c r="L159" s="5">
        <v>10</v>
      </c>
      <c r="M159" s="6">
        <f t="shared" si="14"/>
        <v>6</v>
      </c>
      <c r="N159" s="6" t="str">
        <f t="shared" si="15"/>
        <v>yes</v>
      </c>
      <c r="O159" s="7"/>
      <c r="P159" s="8">
        <f t="shared" si="16"/>
        <v>6</v>
      </c>
      <c r="Q159" s="8">
        <f t="shared" si="17"/>
        <v>5</v>
      </c>
      <c r="R159" s="8">
        <f t="shared" si="18"/>
        <v>4</v>
      </c>
      <c r="S159" s="8">
        <f t="shared" si="19"/>
        <v>6</v>
      </c>
      <c r="T159" s="8">
        <f t="shared" si="20"/>
        <v>6</v>
      </c>
    </row>
    <row r="160" spans="1:20" ht="26.4" x14ac:dyDescent="0.3">
      <c r="A160" s="5" t="s">
        <v>1128</v>
      </c>
      <c r="B160" s="5" t="s">
        <v>123</v>
      </c>
      <c r="C160" s="5" t="s">
        <v>696</v>
      </c>
      <c r="D160" s="5" t="s">
        <v>414</v>
      </c>
      <c r="E160" s="5">
        <v>3</v>
      </c>
      <c r="F160" s="5" t="s">
        <v>1129</v>
      </c>
      <c r="G160" s="5" t="s">
        <v>1130</v>
      </c>
      <c r="H160" s="5" t="s">
        <v>1131</v>
      </c>
      <c r="I160" s="5" t="s">
        <v>1132</v>
      </c>
      <c r="J160" s="5" t="s">
        <v>1133</v>
      </c>
      <c r="K160" s="5" t="s">
        <v>1134</v>
      </c>
      <c r="L160" s="5">
        <v>10</v>
      </c>
      <c r="M160" s="6">
        <f t="shared" si="14"/>
        <v>8</v>
      </c>
      <c r="N160" s="6" t="str">
        <f t="shared" si="15"/>
        <v>yes</v>
      </c>
      <c r="O160" s="7"/>
      <c r="P160" s="8">
        <f t="shared" si="16"/>
        <v>6</v>
      </c>
      <c r="Q160" s="8">
        <f t="shared" si="17"/>
        <v>5</v>
      </c>
      <c r="R160" s="8">
        <f t="shared" si="18"/>
        <v>5</v>
      </c>
      <c r="S160" s="8">
        <f t="shared" si="19"/>
        <v>6</v>
      </c>
      <c r="T160" s="8">
        <f t="shared" si="20"/>
        <v>8</v>
      </c>
    </row>
    <row r="161" spans="1:20" ht="26.4" x14ac:dyDescent="0.3">
      <c r="A161" s="5" t="s">
        <v>1135</v>
      </c>
      <c r="B161" s="5" t="s">
        <v>123</v>
      </c>
      <c r="C161" s="5" t="s">
        <v>696</v>
      </c>
      <c r="D161" s="5" t="s">
        <v>414</v>
      </c>
      <c r="E161" s="5">
        <v>4</v>
      </c>
      <c r="F161" s="5" t="s">
        <v>1136</v>
      </c>
      <c r="G161" s="5" t="s">
        <v>1137</v>
      </c>
      <c r="H161" s="5" t="s">
        <v>1138</v>
      </c>
      <c r="I161" s="5" t="s">
        <v>1139</v>
      </c>
      <c r="J161" s="5" t="s">
        <v>1140</v>
      </c>
      <c r="K161" s="5" t="s">
        <v>1141</v>
      </c>
      <c r="L161" s="5">
        <v>10</v>
      </c>
      <c r="M161" s="6">
        <f t="shared" si="14"/>
        <v>7</v>
      </c>
      <c r="N161" s="6" t="str">
        <f t="shared" si="15"/>
        <v>yes</v>
      </c>
      <c r="O161" s="7"/>
      <c r="P161" s="8">
        <f t="shared" si="16"/>
        <v>7</v>
      </c>
      <c r="Q161" s="8">
        <f t="shared" si="17"/>
        <v>7</v>
      </c>
      <c r="R161" s="8">
        <f t="shared" si="18"/>
        <v>4</v>
      </c>
      <c r="S161" s="8">
        <f t="shared" si="19"/>
        <v>6</v>
      </c>
      <c r="T161" s="8">
        <f t="shared" si="20"/>
        <v>7</v>
      </c>
    </row>
    <row r="162" spans="1:20" ht="26.4" x14ac:dyDescent="0.3">
      <c r="A162" s="5" t="s">
        <v>1142</v>
      </c>
      <c r="B162" s="5" t="s">
        <v>152</v>
      </c>
      <c r="C162" s="5" t="s">
        <v>696</v>
      </c>
      <c r="D162" s="5" t="s">
        <v>414</v>
      </c>
      <c r="E162" s="5">
        <v>1</v>
      </c>
      <c r="F162" s="5" t="s">
        <v>1143</v>
      </c>
      <c r="G162" s="5" t="s">
        <v>1144</v>
      </c>
      <c r="H162" s="5" t="s">
        <v>1145</v>
      </c>
      <c r="I162" s="5" t="s">
        <v>1146</v>
      </c>
      <c r="J162" s="5" t="s">
        <v>1147</v>
      </c>
      <c r="K162" s="5" t="s">
        <v>1148</v>
      </c>
      <c r="L162" s="5">
        <v>10</v>
      </c>
      <c r="M162" s="6">
        <f t="shared" si="14"/>
        <v>7</v>
      </c>
      <c r="N162" s="6" t="str">
        <f t="shared" si="15"/>
        <v>yes</v>
      </c>
      <c r="O162" s="7"/>
      <c r="P162" s="8">
        <f t="shared" si="16"/>
        <v>5</v>
      </c>
      <c r="Q162" s="8">
        <f t="shared" si="17"/>
        <v>6</v>
      </c>
      <c r="R162" s="8">
        <f t="shared" si="18"/>
        <v>5</v>
      </c>
      <c r="S162" s="8">
        <f t="shared" si="19"/>
        <v>4</v>
      </c>
      <c r="T162" s="8">
        <f t="shared" si="20"/>
        <v>7</v>
      </c>
    </row>
    <row r="163" spans="1:20" ht="26.4" x14ac:dyDescent="0.3">
      <c r="A163" s="5" t="s">
        <v>1149</v>
      </c>
      <c r="B163" s="5" t="s">
        <v>152</v>
      </c>
      <c r="C163" s="5" t="s">
        <v>696</v>
      </c>
      <c r="D163" s="5" t="s">
        <v>414</v>
      </c>
      <c r="E163" s="5">
        <v>2</v>
      </c>
      <c r="F163" s="5" t="s">
        <v>1150</v>
      </c>
      <c r="G163" s="5" t="s">
        <v>1151</v>
      </c>
      <c r="H163" s="5" t="s">
        <v>1152</v>
      </c>
      <c r="I163" s="5" t="s">
        <v>1153</v>
      </c>
      <c r="J163" s="5" t="s">
        <v>1154</v>
      </c>
      <c r="K163" s="5" t="s">
        <v>1155</v>
      </c>
      <c r="L163" s="5">
        <v>10</v>
      </c>
      <c r="M163" s="6">
        <f t="shared" si="14"/>
        <v>7</v>
      </c>
      <c r="N163" s="6" t="str">
        <f t="shared" si="15"/>
        <v>yes</v>
      </c>
      <c r="O163" s="7"/>
      <c r="P163" s="8">
        <f t="shared" si="16"/>
        <v>5</v>
      </c>
      <c r="Q163" s="8">
        <f t="shared" si="17"/>
        <v>5</v>
      </c>
      <c r="R163" s="8">
        <f t="shared" si="18"/>
        <v>6</v>
      </c>
      <c r="S163" s="8">
        <f t="shared" si="19"/>
        <v>7</v>
      </c>
      <c r="T163" s="8">
        <f t="shared" si="20"/>
        <v>7</v>
      </c>
    </row>
    <row r="164" spans="1:20" ht="26.4" x14ac:dyDescent="0.3">
      <c r="A164" s="5" t="s">
        <v>1156</v>
      </c>
      <c r="B164" s="5" t="s">
        <v>152</v>
      </c>
      <c r="C164" s="5" t="s">
        <v>696</v>
      </c>
      <c r="D164" s="5" t="s">
        <v>414</v>
      </c>
      <c r="E164" s="5">
        <v>3</v>
      </c>
      <c r="F164" s="5" t="s">
        <v>1157</v>
      </c>
      <c r="G164" s="5" t="s">
        <v>1158</v>
      </c>
      <c r="H164" s="5" t="s">
        <v>1159</v>
      </c>
      <c r="I164" s="5" t="s">
        <v>1160</v>
      </c>
      <c r="J164" s="5" t="s">
        <v>1161</v>
      </c>
      <c r="K164" s="5" t="s">
        <v>1162</v>
      </c>
      <c r="L164" s="5">
        <v>10</v>
      </c>
      <c r="M164" s="6">
        <f t="shared" si="14"/>
        <v>6</v>
      </c>
      <c r="N164" s="6" t="str">
        <f t="shared" si="15"/>
        <v>yes</v>
      </c>
      <c r="O164" s="7"/>
      <c r="P164" s="8">
        <f t="shared" si="16"/>
        <v>5</v>
      </c>
      <c r="Q164" s="8">
        <f t="shared" si="17"/>
        <v>4</v>
      </c>
      <c r="R164" s="8">
        <f t="shared" si="18"/>
        <v>5</v>
      </c>
      <c r="S164" s="8">
        <f t="shared" si="19"/>
        <v>6</v>
      </c>
      <c r="T164" s="8">
        <f t="shared" si="20"/>
        <v>6</v>
      </c>
    </row>
    <row r="165" spans="1:20" ht="26.4" x14ac:dyDescent="0.3">
      <c r="A165" s="5" t="s">
        <v>1163</v>
      </c>
      <c r="B165" s="5" t="s">
        <v>152</v>
      </c>
      <c r="C165" s="5" t="s">
        <v>696</v>
      </c>
      <c r="D165" s="5" t="s">
        <v>414</v>
      </c>
      <c r="E165" s="5">
        <v>4</v>
      </c>
      <c r="F165" s="5" t="s">
        <v>1164</v>
      </c>
      <c r="G165" s="5" t="s">
        <v>1165</v>
      </c>
      <c r="H165" s="5" t="s">
        <v>1166</v>
      </c>
      <c r="I165" s="5" t="s">
        <v>1167</v>
      </c>
      <c r="J165" s="5" t="s">
        <v>1168</v>
      </c>
      <c r="K165" s="5" t="s">
        <v>1169</v>
      </c>
      <c r="L165" s="5">
        <v>10</v>
      </c>
      <c r="M165" s="6">
        <f t="shared" si="14"/>
        <v>7</v>
      </c>
      <c r="N165" s="6" t="str">
        <f t="shared" si="15"/>
        <v>yes</v>
      </c>
      <c r="O165" s="7"/>
      <c r="P165" s="8">
        <f t="shared" si="16"/>
        <v>6</v>
      </c>
      <c r="Q165" s="8">
        <f t="shared" si="17"/>
        <v>6</v>
      </c>
      <c r="R165" s="8">
        <f t="shared" si="18"/>
        <v>6</v>
      </c>
      <c r="S165" s="8">
        <f t="shared" si="19"/>
        <v>5</v>
      </c>
      <c r="T165" s="8">
        <f t="shared" si="20"/>
        <v>7</v>
      </c>
    </row>
    <row r="166" spans="1:20" ht="26.4" x14ac:dyDescent="0.3">
      <c r="A166" s="5" t="s">
        <v>1170</v>
      </c>
      <c r="B166" s="5" t="s">
        <v>181</v>
      </c>
      <c r="C166" s="5" t="s">
        <v>696</v>
      </c>
      <c r="D166" s="5" t="s">
        <v>414</v>
      </c>
      <c r="E166" s="5">
        <v>1</v>
      </c>
      <c r="F166" s="5" t="s">
        <v>1171</v>
      </c>
      <c r="G166" s="5" t="s">
        <v>1172</v>
      </c>
      <c r="H166" s="5" t="s">
        <v>1173</v>
      </c>
      <c r="I166" s="5" t="s">
        <v>1174</v>
      </c>
      <c r="J166" s="5" t="s">
        <v>1175</v>
      </c>
      <c r="K166" s="5" t="s">
        <v>1176</v>
      </c>
      <c r="L166" s="5">
        <v>10</v>
      </c>
      <c r="M166" s="6">
        <f t="shared" si="14"/>
        <v>7</v>
      </c>
      <c r="N166" s="6" t="str">
        <f t="shared" si="15"/>
        <v>yes</v>
      </c>
      <c r="O166" s="7"/>
      <c r="P166" s="8">
        <f t="shared" si="16"/>
        <v>6</v>
      </c>
      <c r="Q166" s="8">
        <f t="shared" si="17"/>
        <v>5</v>
      </c>
      <c r="R166" s="8">
        <f t="shared" si="18"/>
        <v>5</v>
      </c>
      <c r="S166" s="8">
        <f t="shared" si="19"/>
        <v>7</v>
      </c>
      <c r="T166" s="8">
        <f t="shared" si="20"/>
        <v>7</v>
      </c>
    </row>
    <row r="167" spans="1:20" ht="26.4" x14ac:dyDescent="0.3">
      <c r="A167" s="5" t="s">
        <v>1177</v>
      </c>
      <c r="B167" s="5" t="s">
        <v>181</v>
      </c>
      <c r="C167" s="5" t="s">
        <v>696</v>
      </c>
      <c r="D167" s="5" t="s">
        <v>414</v>
      </c>
      <c r="E167" s="5">
        <v>2</v>
      </c>
      <c r="F167" s="5" t="s">
        <v>1178</v>
      </c>
      <c r="G167" s="5" t="s">
        <v>1179</v>
      </c>
      <c r="H167" s="5" t="s">
        <v>1180</v>
      </c>
      <c r="I167" s="5" t="s">
        <v>1181</v>
      </c>
      <c r="J167" s="5" t="s">
        <v>1182</v>
      </c>
      <c r="K167" s="5" t="s">
        <v>1183</v>
      </c>
      <c r="L167" s="5">
        <v>10</v>
      </c>
      <c r="M167" s="6">
        <f t="shared" si="14"/>
        <v>8</v>
      </c>
      <c r="N167" s="6" t="str">
        <f t="shared" si="15"/>
        <v>yes</v>
      </c>
      <c r="O167" s="7"/>
      <c r="P167" s="8">
        <f t="shared" si="16"/>
        <v>6</v>
      </c>
      <c r="Q167" s="8">
        <f t="shared" si="17"/>
        <v>4</v>
      </c>
      <c r="R167" s="8">
        <f t="shared" si="18"/>
        <v>6</v>
      </c>
      <c r="S167" s="8">
        <f t="shared" si="19"/>
        <v>7</v>
      </c>
      <c r="T167" s="8">
        <f t="shared" si="20"/>
        <v>8</v>
      </c>
    </row>
    <row r="168" spans="1:20" ht="26.4" x14ac:dyDescent="0.3">
      <c r="A168" s="5" t="s">
        <v>1184</v>
      </c>
      <c r="B168" s="5" t="s">
        <v>181</v>
      </c>
      <c r="C168" s="5" t="s">
        <v>696</v>
      </c>
      <c r="D168" s="5" t="s">
        <v>414</v>
      </c>
      <c r="E168" s="5">
        <v>3</v>
      </c>
      <c r="F168" s="5" t="s">
        <v>1185</v>
      </c>
      <c r="G168" s="5" t="s">
        <v>1186</v>
      </c>
      <c r="H168" s="5" t="s">
        <v>1187</v>
      </c>
      <c r="I168" s="5" t="s">
        <v>1188</v>
      </c>
      <c r="J168" s="5" t="s">
        <v>1189</v>
      </c>
      <c r="K168" s="5" t="s">
        <v>1190</v>
      </c>
      <c r="L168" s="5">
        <v>10</v>
      </c>
      <c r="M168" s="6">
        <f t="shared" si="14"/>
        <v>8</v>
      </c>
      <c r="N168" s="6" t="str">
        <f t="shared" si="15"/>
        <v>yes</v>
      </c>
      <c r="O168" s="7"/>
      <c r="P168" s="8">
        <f t="shared" si="16"/>
        <v>6</v>
      </c>
      <c r="Q168" s="8">
        <f t="shared" si="17"/>
        <v>5</v>
      </c>
      <c r="R168" s="8">
        <f t="shared" si="18"/>
        <v>6</v>
      </c>
      <c r="S168" s="8">
        <f t="shared" si="19"/>
        <v>6</v>
      </c>
      <c r="T168" s="8">
        <f t="shared" si="20"/>
        <v>8</v>
      </c>
    </row>
    <row r="169" spans="1:20" ht="26.4" x14ac:dyDescent="0.3">
      <c r="A169" s="5" t="s">
        <v>1191</v>
      </c>
      <c r="B169" s="5" t="s">
        <v>181</v>
      </c>
      <c r="C169" s="5" t="s">
        <v>696</v>
      </c>
      <c r="D169" s="5" t="s">
        <v>414</v>
      </c>
      <c r="E169" s="5">
        <v>4</v>
      </c>
      <c r="F169" s="5" t="s">
        <v>1192</v>
      </c>
      <c r="G169" s="5" t="s">
        <v>1193</v>
      </c>
      <c r="H169" s="5" t="s">
        <v>1194</v>
      </c>
      <c r="I169" s="5" t="s">
        <v>1195</v>
      </c>
      <c r="J169" s="5" t="s">
        <v>1196</v>
      </c>
      <c r="K169" s="5" t="s">
        <v>1197</v>
      </c>
      <c r="L169" s="5">
        <v>10</v>
      </c>
      <c r="M169" s="6">
        <f t="shared" si="14"/>
        <v>7</v>
      </c>
      <c r="N169" s="6" t="str">
        <f t="shared" si="15"/>
        <v>yes</v>
      </c>
      <c r="O169" s="7"/>
      <c r="P169" s="8">
        <f t="shared" si="16"/>
        <v>7</v>
      </c>
      <c r="Q169" s="8">
        <f t="shared" si="17"/>
        <v>6</v>
      </c>
      <c r="R169" s="8">
        <f t="shared" si="18"/>
        <v>5</v>
      </c>
      <c r="S169" s="8">
        <f t="shared" si="19"/>
        <v>7</v>
      </c>
      <c r="T169" s="8">
        <f t="shared" si="20"/>
        <v>7</v>
      </c>
    </row>
    <row r="170" spans="1:20" ht="26.4" x14ac:dyDescent="0.3">
      <c r="A170" s="5" t="s">
        <v>1198</v>
      </c>
      <c r="B170" s="5" t="s">
        <v>33</v>
      </c>
      <c r="C170" s="5" t="s">
        <v>1199</v>
      </c>
      <c r="D170" s="5" t="s">
        <v>527</v>
      </c>
      <c r="E170" s="5">
        <v>1</v>
      </c>
      <c r="F170" s="5" t="s">
        <v>1200</v>
      </c>
      <c r="G170" s="5" t="s">
        <v>1201</v>
      </c>
      <c r="H170" s="5" t="s">
        <v>1202</v>
      </c>
      <c r="I170" s="5" t="s">
        <v>1203</v>
      </c>
      <c r="J170" s="5" t="s">
        <v>1204</v>
      </c>
      <c r="K170" s="5" t="s">
        <v>1205</v>
      </c>
      <c r="L170" s="5">
        <v>12</v>
      </c>
      <c r="M170" s="6">
        <f t="shared" si="14"/>
        <v>8</v>
      </c>
      <c r="N170" s="6" t="str">
        <f t="shared" si="15"/>
        <v>yes</v>
      </c>
      <c r="O170" s="7"/>
      <c r="P170" s="8">
        <f t="shared" si="16"/>
        <v>8</v>
      </c>
      <c r="Q170" s="8">
        <f t="shared" si="17"/>
        <v>7</v>
      </c>
      <c r="R170" s="8">
        <f t="shared" si="18"/>
        <v>8</v>
      </c>
      <c r="S170" s="8">
        <f t="shared" si="19"/>
        <v>7</v>
      </c>
      <c r="T170" s="8">
        <f t="shared" si="20"/>
        <v>8</v>
      </c>
    </row>
    <row r="171" spans="1:20" ht="26.4" x14ac:dyDescent="0.3">
      <c r="A171" s="5" t="s">
        <v>1206</v>
      </c>
      <c r="B171" s="5" t="s">
        <v>33</v>
      </c>
      <c r="C171" s="5" t="s">
        <v>1199</v>
      </c>
      <c r="D171" s="5" t="s">
        <v>527</v>
      </c>
      <c r="E171" s="5">
        <v>2</v>
      </c>
      <c r="F171" s="5" t="s">
        <v>1207</v>
      </c>
      <c r="G171" s="5" t="s">
        <v>1208</v>
      </c>
      <c r="H171" s="5" t="s">
        <v>1209</v>
      </c>
      <c r="I171" s="5" t="s">
        <v>1210</v>
      </c>
      <c r="J171" s="5" t="s">
        <v>1211</v>
      </c>
      <c r="K171" s="5" t="s">
        <v>1212</v>
      </c>
      <c r="L171" s="5">
        <v>12</v>
      </c>
      <c r="M171" s="6">
        <f t="shared" si="14"/>
        <v>7</v>
      </c>
      <c r="N171" s="6" t="str">
        <f t="shared" si="15"/>
        <v>yes</v>
      </c>
      <c r="O171" s="7"/>
      <c r="P171" s="8">
        <f t="shared" si="16"/>
        <v>7</v>
      </c>
      <c r="Q171" s="8">
        <f t="shared" si="17"/>
        <v>7</v>
      </c>
      <c r="R171" s="8">
        <f t="shared" si="18"/>
        <v>7</v>
      </c>
      <c r="S171" s="8">
        <f t="shared" si="19"/>
        <v>7</v>
      </c>
      <c r="T171" s="8">
        <f t="shared" si="20"/>
        <v>7</v>
      </c>
    </row>
    <row r="172" spans="1:20" ht="26.4" x14ac:dyDescent="0.3">
      <c r="A172" s="5" t="s">
        <v>1213</v>
      </c>
      <c r="B172" s="5" t="s">
        <v>33</v>
      </c>
      <c r="C172" s="5" t="s">
        <v>1199</v>
      </c>
      <c r="D172" s="5" t="s">
        <v>527</v>
      </c>
      <c r="E172" s="5">
        <v>3</v>
      </c>
      <c r="F172" s="5" t="s">
        <v>1214</v>
      </c>
      <c r="G172" s="5" t="s">
        <v>1215</v>
      </c>
      <c r="H172" s="5" t="s">
        <v>1216</v>
      </c>
      <c r="I172" s="5" t="s">
        <v>1217</v>
      </c>
      <c r="J172" s="5" t="s">
        <v>1218</v>
      </c>
      <c r="K172" s="5" t="s">
        <v>1219</v>
      </c>
      <c r="L172" s="5">
        <v>12</v>
      </c>
      <c r="M172" s="6">
        <f t="shared" si="14"/>
        <v>8</v>
      </c>
      <c r="N172" s="6" t="str">
        <f t="shared" si="15"/>
        <v>yes</v>
      </c>
      <c r="O172" s="7"/>
      <c r="P172" s="8">
        <f t="shared" si="16"/>
        <v>8</v>
      </c>
      <c r="Q172" s="8">
        <f t="shared" si="17"/>
        <v>7</v>
      </c>
      <c r="R172" s="8">
        <f t="shared" si="18"/>
        <v>8</v>
      </c>
      <c r="S172" s="8">
        <f t="shared" si="19"/>
        <v>7</v>
      </c>
      <c r="T172" s="8">
        <f t="shared" si="20"/>
        <v>8</v>
      </c>
    </row>
    <row r="173" spans="1:20" ht="26.4" x14ac:dyDescent="0.3">
      <c r="A173" s="5" t="s">
        <v>1220</v>
      </c>
      <c r="B173" s="5" t="s">
        <v>33</v>
      </c>
      <c r="C173" s="5" t="s">
        <v>1199</v>
      </c>
      <c r="D173" s="5" t="s">
        <v>527</v>
      </c>
      <c r="E173" s="5">
        <v>4</v>
      </c>
      <c r="F173" s="5" t="s">
        <v>1221</v>
      </c>
      <c r="G173" s="5" t="s">
        <v>1222</v>
      </c>
      <c r="H173" s="5" t="s">
        <v>1223</v>
      </c>
      <c r="I173" s="5" t="s">
        <v>1224</v>
      </c>
      <c r="J173" s="5" t="s">
        <v>1225</v>
      </c>
      <c r="K173" s="5" t="s">
        <v>1226</v>
      </c>
      <c r="L173" s="5">
        <v>12</v>
      </c>
      <c r="M173" s="6">
        <f t="shared" si="14"/>
        <v>8</v>
      </c>
      <c r="N173" s="6" t="str">
        <f t="shared" si="15"/>
        <v>yes</v>
      </c>
      <c r="O173" s="7"/>
      <c r="P173" s="8">
        <f t="shared" si="16"/>
        <v>8</v>
      </c>
      <c r="Q173" s="8">
        <f t="shared" si="17"/>
        <v>5</v>
      </c>
      <c r="R173" s="8">
        <f t="shared" si="18"/>
        <v>7</v>
      </c>
      <c r="S173" s="8">
        <f t="shared" si="19"/>
        <v>7</v>
      </c>
      <c r="T173" s="8">
        <f t="shared" si="20"/>
        <v>6</v>
      </c>
    </row>
    <row r="174" spans="1:20" ht="26.4" x14ac:dyDescent="0.3">
      <c r="A174" s="5" t="s">
        <v>1227</v>
      </c>
      <c r="B174" s="5" t="s">
        <v>64</v>
      </c>
      <c r="C174" s="5" t="s">
        <v>1199</v>
      </c>
      <c r="D174" s="5" t="s">
        <v>527</v>
      </c>
      <c r="E174" s="5">
        <v>1</v>
      </c>
      <c r="F174" s="5" t="s">
        <v>1200</v>
      </c>
      <c r="G174" s="5" t="s">
        <v>1228</v>
      </c>
      <c r="H174" s="5" t="s">
        <v>1229</v>
      </c>
      <c r="I174" s="5" t="s">
        <v>1230</v>
      </c>
      <c r="J174" s="5" t="s">
        <v>1231</v>
      </c>
      <c r="K174" s="5" t="s">
        <v>1232</v>
      </c>
      <c r="L174" s="5">
        <v>12</v>
      </c>
      <c r="M174" s="6">
        <f t="shared" si="14"/>
        <v>11</v>
      </c>
      <c r="N174" s="6" t="str">
        <f t="shared" si="15"/>
        <v>yes</v>
      </c>
      <c r="O174" s="7"/>
      <c r="P174" s="8">
        <f t="shared" si="16"/>
        <v>11</v>
      </c>
      <c r="Q174" s="8">
        <f t="shared" si="17"/>
        <v>9</v>
      </c>
      <c r="R174" s="8">
        <f t="shared" si="18"/>
        <v>8</v>
      </c>
      <c r="S174" s="8">
        <f t="shared" si="19"/>
        <v>7</v>
      </c>
      <c r="T174" s="8">
        <f t="shared" si="20"/>
        <v>9</v>
      </c>
    </row>
    <row r="175" spans="1:20" ht="26.4" x14ac:dyDescent="0.3">
      <c r="A175" s="5" t="s">
        <v>1233</v>
      </c>
      <c r="B175" s="5" t="s">
        <v>64</v>
      </c>
      <c r="C175" s="5" t="s">
        <v>1199</v>
      </c>
      <c r="D175" s="5" t="s">
        <v>527</v>
      </c>
      <c r="E175" s="5">
        <v>2</v>
      </c>
      <c r="F175" s="5" t="s">
        <v>1234</v>
      </c>
      <c r="G175" s="5" t="s">
        <v>1235</v>
      </c>
      <c r="H175" s="5" t="s">
        <v>1236</v>
      </c>
      <c r="I175" s="5" t="s">
        <v>1237</v>
      </c>
      <c r="J175" s="5" t="s">
        <v>1238</v>
      </c>
      <c r="K175" s="5" t="s">
        <v>1239</v>
      </c>
      <c r="L175" s="5">
        <v>12</v>
      </c>
      <c r="M175" s="6">
        <f t="shared" si="14"/>
        <v>8</v>
      </c>
      <c r="N175" s="6" t="str">
        <f t="shared" si="15"/>
        <v>yes</v>
      </c>
      <c r="O175" s="7"/>
      <c r="P175" s="8">
        <f t="shared" si="16"/>
        <v>7</v>
      </c>
      <c r="Q175" s="8">
        <f t="shared" si="17"/>
        <v>8</v>
      </c>
      <c r="R175" s="8">
        <f t="shared" si="18"/>
        <v>7</v>
      </c>
      <c r="S175" s="8">
        <f t="shared" si="19"/>
        <v>7</v>
      </c>
      <c r="T175" s="8">
        <f t="shared" si="20"/>
        <v>7</v>
      </c>
    </row>
    <row r="176" spans="1:20" ht="26.4" x14ac:dyDescent="0.3">
      <c r="A176" s="5" t="s">
        <v>1240</v>
      </c>
      <c r="B176" s="5" t="s">
        <v>64</v>
      </c>
      <c r="C176" s="5" t="s">
        <v>1199</v>
      </c>
      <c r="D176" s="5" t="s">
        <v>527</v>
      </c>
      <c r="E176" s="5">
        <v>3</v>
      </c>
      <c r="F176" s="5" t="s">
        <v>1241</v>
      </c>
      <c r="G176" s="5" t="s">
        <v>1242</v>
      </c>
      <c r="H176" s="5" t="s">
        <v>1243</v>
      </c>
      <c r="I176" s="5" t="s">
        <v>1244</v>
      </c>
      <c r="J176" s="5" t="s">
        <v>1245</v>
      </c>
      <c r="K176" s="5" t="s">
        <v>1246</v>
      </c>
      <c r="L176" s="5">
        <v>12</v>
      </c>
      <c r="M176" s="6">
        <f t="shared" si="14"/>
        <v>8</v>
      </c>
      <c r="N176" s="6" t="str">
        <f t="shared" si="15"/>
        <v>yes</v>
      </c>
      <c r="O176" s="7"/>
      <c r="P176" s="8">
        <f t="shared" si="16"/>
        <v>8</v>
      </c>
      <c r="Q176" s="8">
        <f t="shared" si="17"/>
        <v>6</v>
      </c>
      <c r="R176" s="8">
        <f t="shared" si="18"/>
        <v>6</v>
      </c>
      <c r="S176" s="8">
        <f t="shared" si="19"/>
        <v>7</v>
      </c>
      <c r="T176" s="8">
        <f t="shared" si="20"/>
        <v>8</v>
      </c>
    </row>
    <row r="177" spans="1:20" ht="26.4" x14ac:dyDescent="0.3">
      <c r="A177" s="5" t="s">
        <v>1247</v>
      </c>
      <c r="B177" s="5" t="s">
        <v>64</v>
      </c>
      <c r="C177" s="5" t="s">
        <v>1199</v>
      </c>
      <c r="D177" s="5" t="s">
        <v>527</v>
      </c>
      <c r="E177" s="5">
        <v>4</v>
      </c>
      <c r="F177" s="5" t="s">
        <v>1248</v>
      </c>
      <c r="G177" s="5" t="s">
        <v>1249</v>
      </c>
      <c r="H177" s="5" t="s">
        <v>1250</v>
      </c>
      <c r="I177" s="5" t="s">
        <v>1251</v>
      </c>
      <c r="J177" s="5" t="s">
        <v>1252</v>
      </c>
      <c r="K177" s="5" t="s">
        <v>1253</v>
      </c>
      <c r="L177" s="5">
        <v>12</v>
      </c>
      <c r="M177" s="6">
        <f t="shared" si="14"/>
        <v>8</v>
      </c>
      <c r="N177" s="6" t="str">
        <f t="shared" si="15"/>
        <v>yes</v>
      </c>
      <c r="O177" s="7"/>
      <c r="P177" s="8">
        <f t="shared" si="16"/>
        <v>8</v>
      </c>
      <c r="Q177" s="8">
        <f t="shared" si="17"/>
        <v>7</v>
      </c>
      <c r="R177" s="8">
        <f t="shared" si="18"/>
        <v>6</v>
      </c>
      <c r="S177" s="8">
        <f t="shared" si="19"/>
        <v>8</v>
      </c>
      <c r="T177" s="8">
        <f t="shared" si="20"/>
        <v>7</v>
      </c>
    </row>
    <row r="178" spans="1:20" ht="39.6" x14ac:dyDescent="0.3">
      <c r="A178" s="5" t="s">
        <v>1254</v>
      </c>
      <c r="B178" s="5" t="s">
        <v>93</v>
      </c>
      <c r="C178" s="5" t="s">
        <v>1199</v>
      </c>
      <c r="D178" s="5" t="s">
        <v>527</v>
      </c>
      <c r="E178" s="5">
        <v>1</v>
      </c>
      <c r="F178" s="5" t="s">
        <v>1200</v>
      </c>
      <c r="G178" s="5" t="s">
        <v>1255</v>
      </c>
      <c r="H178" s="5" t="s">
        <v>1256</v>
      </c>
      <c r="I178" s="5" t="s">
        <v>1257</v>
      </c>
      <c r="J178" s="5" t="s">
        <v>1258</v>
      </c>
      <c r="K178" s="5" t="s">
        <v>1259</v>
      </c>
      <c r="L178" s="5">
        <v>12</v>
      </c>
      <c r="M178" s="6">
        <f t="shared" si="14"/>
        <v>10</v>
      </c>
      <c r="N178" s="6" t="str">
        <f t="shared" si="15"/>
        <v>yes</v>
      </c>
      <c r="O178" s="7"/>
      <c r="P178" s="8">
        <f t="shared" si="16"/>
        <v>10</v>
      </c>
      <c r="Q178" s="8">
        <f t="shared" si="17"/>
        <v>10</v>
      </c>
      <c r="R178" s="8">
        <f t="shared" si="18"/>
        <v>10</v>
      </c>
      <c r="S178" s="8">
        <f t="shared" si="19"/>
        <v>10</v>
      </c>
      <c r="T178" s="8">
        <f t="shared" si="20"/>
        <v>10</v>
      </c>
    </row>
    <row r="179" spans="1:20" ht="39.6" x14ac:dyDescent="0.3">
      <c r="A179" s="5" t="s">
        <v>1260</v>
      </c>
      <c r="B179" s="5" t="s">
        <v>93</v>
      </c>
      <c r="C179" s="5" t="s">
        <v>1199</v>
      </c>
      <c r="D179" s="5" t="s">
        <v>527</v>
      </c>
      <c r="E179" s="5">
        <v>2</v>
      </c>
      <c r="F179" s="5" t="s">
        <v>1261</v>
      </c>
      <c r="G179" s="5" t="s">
        <v>1262</v>
      </c>
      <c r="H179" s="5" t="s">
        <v>1263</v>
      </c>
      <c r="I179" s="5" t="s">
        <v>1264</v>
      </c>
      <c r="J179" s="5" t="s">
        <v>1265</v>
      </c>
      <c r="K179" s="5" t="s">
        <v>1266</v>
      </c>
      <c r="L179" s="5">
        <v>12</v>
      </c>
      <c r="M179" s="6">
        <f t="shared" si="14"/>
        <v>10</v>
      </c>
      <c r="N179" s="6" t="str">
        <f t="shared" si="15"/>
        <v>yes</v>
      </c>
      <c r="O179" s="7"/>
      <c r="P179" s="8">
        <f t="shared" si="16"/>
        <v>10</v>
      </c>
      <c r="Q179" s="8">
        <f t="shared" si="17"/>
        <v>10</v>
      </c>
      <c r="R179" s="8">
        <f t="shared" si="18"/>
        <v>10</v>
      </c>
      <c r="S179" s="8">
        <f t="shared" si="19"/>
        <v>7</v>
      </c>
      <c r="T179" s="8">
        <f t="shared" si="20"/>
        <v>9</v>
      </c>
    </row>
    <row r="180" spans="1:20" ht="39.6" x14ac:dyDescent="0.3">
      <c r="A180" s="5" t="s">
        <v>1267</v>
      </c>
      <c r="B180" s="5" t="s">
        <v>93</v>
      </c>
      <c r="C180" s="5" t="s">
        <v>1199</v>
      </c>
      <c r="D180" s="5" t="s">
        <v>527</v>
      </c>
      <c r="E180" s="5">
        <v>3</v>
      </c>
      <c r="F180" s="5" t="s">
        <v>1268</v>
      </c>
      <c r="G180" s="5" t="s">
        <v>1269</v>
      </c>
      <c r="H180" s="5" t="s">
        <v>1270</v>
      </c>
      <c r="I180" s="5" t="s">
        <v>1271</v>
      </c>
      <c r="J180" s="5" t="s">
        <v>1272</v>
      </c>
      <c r="K180" s="5" t="s">
        <v>1273</v>
      </c>
      <c r="L180" s="5">
        <v>12</v>
      </c>
      <c r="M180" s="6">
        <f t="shared" si="14"/>
        <v>10</v>
      </c>
      <c r="N180" s="6" t="str">
        <f t="shared" si="15"/>
        <v>yes</v>
      </c>
      <c r="O180" s="7"/>
      <c r="P180" s="8">
        <f t="shared" si="16"/>
        <v>9</v>
      </c>
      <c r="Q180" s="8">
        <f t="shared" si="17"/>
        <v>8</v>
      </c>
      <c r="R180" s="8">
        <f t="shared" si="18"/>
        <v>9</v>
      </c>
      <c r="S180" s="8">
        <f t="shared" si="19"/>
        <v>10</v>
      </c>
      <c r="T180" s="8">
        <f t="shared" si="20"/>
        <v>9</v>
      </c>
    </row>
    <row r="181" spans="1:20" ht="26.4" x14ac:dyDescent="0.3">
      <c r="A181" s="5" t="s">
        <v>1274</v>
      </c>
      <c r="B181" s="5" t="s">
        <v>93</v>
      </c>
      <c r="C181" s="5" t="s">
        <v>1199</v>
      </c>
      <c r="D181" s="5" t="s">
        <v>527</v>
      </c>
      <c r="E181" s="5">
        <v>4</v>
      </c>
      <c r="F181" s="5" t="s">
        <v>1275</v>
      </c>
      <c r="G181" s="5" t="s">
        <v>1276</v>
      </c>
      <c r="H181" s="5" t="s">
        <v>1277</v>
      </c>
      <c r="I181" s="5" t="s">
        <v>1278</v>
      </c>
      <c r="J181" s="5" t="s">
        <v>1279</v>
      </c>
      <c r="K181" s="5" t="s">
        <v>1280</v>
      </c>
      <c r="L181" s="5">
        <v>12</v>
      </c>
      <c r="M181" s="6">
        <f t="shared" si="14"/>
        <v>10</v>
      </c>
      <c r="N181" s="6" t="str">
        <f t="shared" si="15"/>
        <v>yes</v>
      </c>
      <c r="O181" s="7"/>
      <c r="P181" s="8">
        <f t="shared" si="16"/>
        <v>10</v>
      </c>
      <c r="Q181" s="8">
        <f t="shared" si="17"/>
        <v>10</v>
      </c>
      <c r="R181" s="8">
        <f t="shared" si="18"/>
        <v>10</v>
      </c>
      <c r="S181" s="8">
        <f t="shared" si="19"/>
        <v>10</v>
      </c>
      <c r="T181" s="8">
        <f t="shared" si="20"/>
        <v>9</v>
      </c>
    </row>
    <row r="182" spans="1:20" ht="26.4" x14ac:dyDescent="0.3">
      <c r="A182" s="5" t="s">
        <v>1281</v>
      </c>
      <c r="B182" s="5" t="s">
        <v>123</v>
      </c>
      <c r="C182" s="5" t="s">
        <v>1199</v>
      </c>
      <c r="D182" s="5" t="s">
        <v>527</v>
      </c>
      <c r="E182" s="5">
        <v>1</v>
      </c>
      <c r="F182" s="5" t="s">
        <v>1200</v>
      </c>
      <c r="G182" s="5" t="s">
        <v>1282</v>
      </c>
      <c r="H182" s="5" t="s">
        <v>1283</v>
      </c>
      <c r="I182" s="5" t="s">
        <v>1284</v>
      </c>
      <c r="J182" s="5" t="s">
        <v>1285</v>
      </c>
      <c r="K182" s="5" t="s">
        <v>1286</v>
      </c>
      <c r="L182" s="5">
        <v>12</v>
      </c>
      <c r="M182" s="6">
        <f t="shared" si="14"/>
        <v>11</v>
      </c>
      <c r="N182" s="6" t="str">
        <f t="shared" si="15"/>
        <v>yes</v>
      </c>
      <c r="O182" s="7"/>
      <c r="P182" s="8">
        <f t="shared" si="16"/>
        <v>11</v>
      </c>
      <c r="Q182" s="8">
        <f t="shared" si="17"/>
        <v>7</v>
      </c>
      <c r="R182" s="8">
        <f t="shared" si="18"/>
        <v>6</v>
      </c>
      <c r="S182" s="8">
        <f t="shared" si="19"/>
        <v>7</v>
      </c>
      <c r="T182" s="8">
        <f t="shared" si="20"/>
        <v>9</v>
      </c>
    </row>
    <row r="183" spans="1:20" ht="26.4" x14ac:dyDescent="0.3">
      <c r="A183" s="5" t="s">
        <v>1287</v>
      </c>
      <c r="B183" s="5" t="s">
        <v>123</v>
      </c>
      <c r="C183" s="5" t="s">
        <v>1199</v>
      </c>
      <c r="D183" s="5" t="s">
        <v>527</v>
      </c>
      <c r="E183" s="5">
        <v>2</v>
      </c>
      <c r="F183" s="5" t="s">
        <v>1288</v>
      </c>
      <c r="G183" s="5" t="s">
        <v>1289</v>
      </c>
      <c r="H183" s="5" t="s">
        <v>1290</v>
      </c>
      <c r="I183" s="5" t="s">
        <v>1291</v>
      </c>
      <c r="J183" s="5" t="s">
        <v>1292</v>
      </c>
      <c r="K183" s="5" t="s">
        <v>1293</v>
      </c>
      <c r="L183" s="5">
        <v>12</v>
      </c>
      <c r="M183" s="6">
        <f t="shared" si="14"/>
        <v>8</v>
      </c>
      <c r="N183" s="6" t="str">
        <f t="shared" si="15"/>
        <v>yes</v>
      </c>
      <c r="O183" s="7"/>
      <c r="P183" s="8">
        <f t="shared" si="16"/>
        <v>6</v>
      </c>
      <c r="Q183" s="8">
        <f t="shared" si="17"/>
        <v>5</v>
      </c>
      <c r="R183" s="8">
        <f t="shared" si="18"/>
        <v>8</v>
      </c>
      <c r="S183" s="8">
        <f t="shared" si="19"/>
        <v>7</v>
      </c>
      <c r="T183" s="8">
        <f t="shared" si="20"/>
        <v>8</v>
      </c>
    </row>
    <row r="184" spans="1:20" ht="26.4" x14ac:dyDescent="0.3">
      <c r="A184" s="5" t="s">
        <v>1294</v>
      </c>
      <c r="B184" s="5" t="s">
        <v>123</v>
      </c>
      <c r="C184" s="5" t="s">
        <v>1199</v>
      </c>
      <c r="D184" s="5" t="s">
        <v>527</v>
      </c>
      <c r="E184" s="5">
        <v>3</v>
      </c>
      <c r="F184" s="5" t="s">
        <v>1295</v>
      </c>
      <c r="G184" s="5" t="s">
        <v>1296</v>
      </c>
      <c r="H184" s="5" t="s">
        <v>1297</v>
      </c>
      <c r="I184" s="5" t="s">
        <v>1298</v>
      </c>
      <c r="J184" s="5" t="s">
        <v>1299</v>
      </c>
      <c r="K184" s="5" t="s">
        <v>1300</v>
      </c>
      <c r="L184" s="5">
        <v>12</v>
      </c>
      <c r="M184" s="6">
        <f t="shared" si="14"/>
        <v>8</v>
      </c>
      <c r="N184" s="6" t="str">
        <f t="shared" si="15"/>
        <v>yes</v>
      </c>
      <c r="O184" s="7"/>
      <c r="P184" s="8">
        <f t="shared" si="16"/>
        <v>8</v>
      </c>
      <c r="Q184" s="8">
        <f t="shared" si="17"/>
        <v>7</v>
      </c>
      <c r="R184" s="8">
        <f t="shared" si="18"/>
        <v>7</v>
      </c>
      <c r="S184" s="8">
        <f t="shared" si="19"/>
        <v>8</v>
      </c>
      <c r="T184" s="8">
        <f t="shared" si="20"/>
        <v>8</v>
      </c>
    </row>
    <row r="185" spans="1:20" ht="26.4" x14ac:dyDescent="0.3">
      <c r="A185" s="5" t="s">
        <v>1301</v>
      </c>
      <c r="B185" s="5" t="s">
        <v>123</v>
      </c>
      <c r="C185" s="5" t="s">
        <v>1199</v>
      </c>
      <c r="D185" s="5" t="s">
        <v>527</v>
      </c>
      <c r="E185" s="5">
        <v>4</v>
      </c>
      <c r="F185" s="5" t="s">
        <v>1302</v>
      </c>
      <c r="G185" s="5" t="s">
        <v>1303</v>
      </c>
      <c r="H185" s="5" t="s">
        <v>1304</v>
      </c>
      <c r="I185" s="5" t="s">
        <v>1305</v>
      </c>
      <c r="J185" s="5" t="s">
        <v>1306</v>
      </c>
      <c r="K185" s="5" t="s">
        <v>1307</v>
      </c>
      <c r="L185" s="5">
        <v>12</v>
      </c>
      <c r="M185" s="6">
        <f t="shared" si="14"/>
        <v>9</v>
      </c>
      <c r="N185" s="6" t="str">
        <f t="shared" si="15"/>
        <v>yes</v>
      </c>
      <c r="O185" s="7"/>
      <c r="P185" s="8">
        <f t="shared" si="16"/>
        <v>8</v>
      </c>
      <c r="Q185" s="8">
        <f t="shared" si="17"/>
        <v>8</v>
      </c>
      <c r="R185" s="8">
        <f t="shared" si="18"/>
        <v>7</v>
      </c>
      <c r="S185" s="8">
        <f t="shared" si="19"/>
        <v>9</v>
      </c>
      <c r="T185" s="8">
        <f t="shared" si="20"/>
        <v>7</v>
      </c>
    </row>
    <row r="186" spans="1:20" ht="26.4" x14ac:dyDescent="0.3">
      <c r="A186" s="5" t="s">
        <v>1308</v>
      </c>
      <c r="B186" s="5" t="s">
        <v>152</v>
      </c>
      <c r="C186" s="5" t="s">
        <v>1199</v>
      </c>
      <c r="D186" s="5" t="s">
        <v>527</v>
      </c>
      <c r="E186" s="5">
        <v>1</v>
      </c>
      <c r="F186" s="5" t="s">
        <v>1309</v>
      </c>
      <c r="G186" s="5" t="s">
        <v>1310</v>
      </c>
      <c r="H186" s="5" t="s">
        <v>1311</v>
      </c>
      <c r="I186" s="5" t="s">
        <v>1312</v>
      </c>
      <c r="J186" s="5" t="s">
        <v>1313</v>
      </c>
      <c r="K186" s="5" t="s">
        <v>1314</v>
      </c>
      <c r="L186" s="5">
        <v>12</v>
      </c>
      <c r="M186" s="6">
        <f t="shared" si="14"/>
        <v>9</v>
      </c>
      <c r="N186" s="6" t="str">
        <f t="shared" si="15"/>
        <v>yes</v>
      </c>
      <c r="O186" s="7"/>
      <c r="P186" s="8">
        <f t="shared" si="16"/>
        <v>8</v>
      </c>
      <c r="Q186" s="8">
        <f t="shared" si="17"/>
        <v>9</v>
      </c>
      <c r="R186" s="8">
        <f t="shared" si="18"/>
        <v>7</v>
      </c>
      <c r="S186" s="8">
        <f t="shared" si="19"/>
        <v>6</v>
      </c>
      <c r="T186" s="8">
        <f t="shared" si="20"/>
        <v>8</v>
      </c>
    </row>
    <row r="187" spans="1:20" ht="26.4" x14ac:dyDescent="0.3">
      <c r="A187" s="5" t="s">
        <v>1315</v>
      </c>
      <c r="B187" s="5" t="s">
        <v>152</v>
      </c>
      <c r="C187" s="5" t="s">
        <v>1199</v>
      </c>
      <c r="D187" s="5" t="s">
        <v>527</v>
      </c>
      <c r="E187" s="5">
        <v>2</v>
      </c>
      <c r="F187" s="5" t="s">
        <v>1316</v>
      </c>
      <c r="G187" s="5" t="s">
        <v>1317</v>
      </c>
      <c r="H187" s="5" t="s">
        <v>1318</v>
      </c>
      <c r="I187" s="5" t="s">
        <v>1319</v>
      </c>
      <c r="J187" s="5" t="s">
        <v>1320</v>
      </c>
      <c r="K187" s="5" t="s">
        <v>1321</v>
      </c>
      <c r="L187" s="5">
        <v>12</v>
      </c>
      <c r="M187" s="6">
        <f t="shared" si="14"/>
        <v>8</v>
      </c>
      <c r="N187" s="6" t="str">
        <f t="shared" si="15"/>
        <v>yes</v>
      </c>
      <c r="O187" s="7"/>
      <c r="P187" s="8">
        <f t="shared" si="16"/>
        <v>8</v>
      </c>
      <c r="Q187" s="8">
        <f t="shared" si="17"/>
        <v>7</v>
      </c>
      <c r="R187" s="8">
        <f t="shared" si="18"/>
        <v>7</v>
      </c>
      <c r="S187" s="8">
        <f t="shared" si="19"/>
        <v>7</v>
      </c>
      <c r="T187" s="8">
        <f t="shared" si="20"/>
        <v>7</v>
      </c>
    </row>
    <row r="188" spans="1:20" ht="26.4" x14ac:dyDescent="0.3">
      <c r="A188" s="5" t="s">
        <v>1322</v>
      </c>
      <c r="B188" s="5" t="s">
        <v>152</v>
      </c>
      <c r="C188" s="5" t="s">
        <v>1199</v>
      </c>
      <c r="D188" s="5" t="s">
        <v>527</v>
      </c>
      <c r="E188" s="5">
        <v>3</v>
      </c>
      <c r="F188" s="5" t="s">
        <v>1323</v>
      </c>
      <c r="G188" s="5" t="s">
        <v>1324</v>
      </c>
      <c r="H188" s="5" t="s">
        <v>1325</v>
      </c>
      <c r="I188" s="5" t="s">
        <v>1326</v>
      </c>
      <c r="J188" s="5" t="s">
        <v>1327</v>
      </c>
      <c r="K188" s="5" t="s">
        <v>1328</v>
      </c>
      <c r="L188" s="5">
        <v>12</v>
      </c>
      <c r="M188" s="6">
        <f t="shared" si="14"/>
        <v>8</v>
      </c>
      <c r="N188" s="6" t="str">
        <f t="shared" si="15"/>
        <v>yes</v>
      </c>
      <c r="O188" s="7"/>
      <c r="P188" s="8">
        <f t="shared" si="16"/>
        <v>7</v>
      </c>
      <c r="Q188" s="8">
        <f t="shared" si="17"/>
        <v>6</v>
      </c>
      <c r="R188" s="8">
        <f t="shared" si="18"/>
        <v>7</v>
      </c>
      <c r="S188" s="8">
        <f t="shared" si="19"/>
        <v>7</v>
      </c>
      <c r="T188" s="8">
        <f t="shared" si="20"/>
        <v>8</v>
      </c>
    </row>
    <row r="189" spans="1:20" ht="26.4" x14ac:dyDescent="0.3">
      <c r="A189" s="5" t="s">
        <v>1329</v>
      </c>
      <c r="B189" s="5" t="s">
        <v>152</v>
      </c>
      <c r="C189" s="5" t="s">
        <v>1199</v>
      </c>
      <c r="D189" s="5" t="s">
        <v>527</v>
      </c>
      <c r="E189" s="5">
        <v>4</v>
      </c>
      <c r="F189" s="5" t="s">
        <v>1330</v>
      </c>
      <c r="G189" s="5" t="s">
        <v>1331</v>
      </c>
      <c r="H189" s="5" t="s">
        <v>1332</v>
      </c>
      <c r="I189" s="5" t="s">
        <v>1333</v>
      </c>
      <c r="J189" s="5" t="s">
        <v>1334</v>
      </c>
      <c r="K189" s="5" t="s">
        <v>1335</v>
      </c>
      <c r="L189" s="5">
        <v>12</v>
      </c>
      <c r="M189" s="6">
        <f t="shared" si="14"/>
        <v>8</v>
      </c>
      <c r="N189" s="6" t="str">
        <f t="shared" si="15"/>
        <v>yes</v>
      </c>
      <c r="O189" s="7"/>
      <c r="P189" s="8">
        <f t="shared" si="16"/>
        <v>8</v>
      </c>
      <c r="Q189" s="8">
        <f t="shared" si="17"/>
        <v>8</v>
      </c>
      <c r="R189" s="8">
        <f t="shared" si="18"/>
        <v>7</v>
      </c>
      <c r="S189" s="8">
        <f t="shared" si="19"/>
        <v>7</v>
      </c>
      <c r="T189" s="8">
        <f t="shared" si="20"/>
        <v>8</v>
      </c>
    </row>
    <row r="190" spans="1:20" ht="39.6" x14ac:dyDescent="0.3">
      <c r="A190" s="5" t="s">
        <v>1336</v>
      </c>
      <c r="B190" s="5" t="s">
        <v>181</v>
      </c>
      <c r="C190" s="5" t="s">
        <v>1199</v>
      </c>
      <c r="D190" s="5" t="s">
        <v>527</v>
      </c>
      <c r="E190" s="5">
        <v>1</v>
      </c>
      <c r="F190" s="5" t="s">
        <v>1337</v>
      </c>
      <c r="G190" s="5" t="s">
        <v>1338</v>
      </c>
      <c r="H190" s="5" t="s">
        <v>1339</v>
      </c>
      <c r="I190" s="5" t="s">
        <v>1340</v>
      </c>
      <c r="J190" s="5" t="s">
        <v>1341</v>
      </c>
      <c r="K190" s="5" t="s">
        <v>1342</v>
      </c>
      <c r="L190" s="5">
        <v>12</v>
      </c>
      <c r="M190" s="6">
        <f t="shared" si="14"/>
        <v>10</v>
      </c>
      <c r="N190" s="6" t="str">
        <f t="shared" si="15"/>
        <v>yes</v>
      </c>
      <c r="O190" s="7"/>
      <c r="P190" s="8">
        <f t="shared" si="16"/>
        <v>10</v>
      </c>
      <c r="Q190" s="8">
        <f t="shared" si="17"/>
        <v>8</v>
      </c>
      <c r="R190" s="8">
        <f t="shared" si="18"/>
        <v>6</v>
      </c>
      <c r="S190" s="8">
        <f t="shared" si="19"/>
        <v>6</v>
      </c>
      <c r="T190" s="8">
        <f t="shared" si="20"/>
        <v>9</v>
      </c>
    </row>
    <row r="191" spans="1:20" ht="26.4" x14ac:dyDescent="0.3">
      <c r="A191" s="5" t="s">
        <v>1343</v>
      </c>
      <c r="B191" s="5" t="s">
        <v>181</v>
      </c>
      <c r="C191" s="5" t="s">
        <v>1199</v>
      </c>
      <c r="D191" s="5" t="s">
        <v>527</v>
      </c>
      <c r="E191" s="5">
        <v>2</v>
      </c>
      <c r="F191" s="5" t="s">
        <v>1344</v>
      </c>
      <c r="G191" s="5" t="s">
        <v>1345</v>
      </c>
      <c r="H191" s="5" t="s">
        <v>1346</v>
      </c>
      <c r="I191" s="5" t="s">
        <v>1347</v>
      </c>
      <c r="J191" s="5" t="s">
        <v>1348</v>
      </c>
      <c r="K191" s="5" t="s">
        <v>1349</v>
      </c>
      <c r="L191" s="5">
        <v>12</v>
      </c>
      <c r="M191" s="6">
        <f t="shared" si="14"/>
        <v>10</v>
      </c>
      <c r="N191" s="6" t="str">
        <f t="shared" si="15"/>
        <v>yes</v>
      </c>
      <c r="O191" s="7"/>
      <c r="P191" s="8">
        <f t="shared" si="16"/>
        <v>10</v>
      </c>
      <c r="Q191" s="8">
        <f t="shared" si="17"/>
        <v>8</v>
      </c>
      <c r="R191" s="8">
        <f t="shared" si="18"/>
        <v>7</v>
      </c>
      <c r="S191" s="8">
        <f t="shared" si="19"/>
        <v>6</v>
      </c>
      <c r="T191" s="8">
        <f t="shared" si="20"/>
        <v>10</v>
      </c>
    </row>
    <row r="192" spans="1:20" ht="26.4" x14ac:dyDescent="0.3">
      <c r="A192" s="5" t="s">
        <v>1350</v>
      </c>
      <c r="B192" s="5" t="s">
        <v>181</v>
      </c>
      <c r="C192" s="5" t="s">
        <v>1199</v>
      </c>
      <c r="D192" s="5" t="s">
        <v>527</v>
      </c>
      <c r="E192" s="5">
        <v>3</v>
      </c>
      <c r="F192" s="5" t="s">
        <v>1351</v>
      </c>
      <c r="G192" s="5" t="s">
        <v>1352</v>
      </c>
      <c r="H192" s="5" t="s">
        <v>1353</v>
      </c>
      <c r="I192" s="5" t="s">
        <v>1354</v>
      </c>
      <c r="J192" s="5" t="s">
        <v>1355</v>
      </c>
      <c r="K192" s="5" t="s">
        <v>1356</v>
      </c>
      <c r="L192" s="5">
        <v>12</v>
      </c>
      <c r="M192" s="6">
        <f t="shared" si="14"/>
        <v>8</v>
      </c>
      <c r="N192" s="6" t="str">
        <f t="shared" si="15"/>
        <v>yes</v>
      </c>
      <c r="O192" s="7"/>
      <c r="P192" s="8">
        <f t="shared" si="16"/>
        <v>5</v>
      </c>
      <c r="Q192" s="8">
        <f t="shared" si="17"/>
        <v>7</v>
      </c>
      <c r="R192" s="8">
        <f t="shared" si="18"/>
        <v>6</v>
      </c>
      <c r="S192" s="8">
        <f t="shared" si="19"/>
        <v>5</v>
      </c>
      <c r="T192" s="8">
        <f t="shared" si="20"/>
        <v>8</v>
      </c>
    </row>
    <row r="193" spans="1:20" ht="26.4" x14ac:dyDescent="0.3">
      <c r="A193" s="5" t="s">
        <v>1357</v>
      </c>
      <c r="B193" s="5" t="s">
        <v>181</v>
      </c>
      <c r="C193" s="5" t="s">
        <v>1199</v>
      </c>
      <c r="D193" s="5" t="s">
        <v>527</v>
      </c>
      <c r="E193" s="5">
        <v>4</v>
      </c>
      <c r="F193" s="5" t="s">
        <v>1358</v>
      </c>
      <c r="G193" s="5" t="s">
        <v>1359</v>
      </c>
      <c r="H193" s="5" t="s">
        <v>1360</v>
      </c>
      <c r="I193" s="5" t="s">
        <v>1361</v>
      </c>
      <c r="J193" s="5" t="s">
        <v>1362</v>
      </c>
      <c r="K193" s="5" t="s">
        <v>1363</v>
      </c>
      <c r="L193" s="5">
        <v>12</v>
      </c>
      <c r="M193" s="6">
        <f t="shared" si="14"/>
        <v>9</v>
      </c>
      <c r="N193" s="6" t="str">
        <f t="shared" si="15"/>
        <v>yes</v>
      </c>
      <c r="O193" s="7"/>
      <c r="P193" s="8">
        <f t="shared" si="16"/>
        <v>8</v>
      </c>
      <c r="Q193" s="8">
        <f t="shared" si="17"/>
        <v>8</v>
      </c>
      <c r="R193" s="8">
        <f t="shared" si="18"/>
        <v>6</v>
      </c>
      <c r="S193" s="8">
        <f t="shared" si="19"/>
        <v>7</v>
      </c>
      <c r="T193" s="8">
        <f t="shared" si="20"/>
        <v>9</v>
      </c>
    </row>
    <row r="194" spans="1:20" ht="26.4" x14ac:dyDescent="0.3">
      <c r="A194" s="5" t="s">
        <v>1364</v>
      </c>
      <c r="B194" s="5" t="s">
        <v>33</v>
      </c>
      <c r="C194" s="5" t="s">
        <v>1365</v>
      </c>
      <c r="D194" s="5" t="s">
        <v>527</v>
      </c>
      <c r="E194" s="5">
        <v>1</v>
      </c>
      <c r="F194" s="5" t="s">
        <v>1366</v>
      </c>
      <c r="G194" s="5" t="s">
        <v>1367</v>
      </c>
      <c r="H194" s="5" t="s">
        <v>1368</v>
      </c>
      <c r="I194" s="5" t="s">
        <v>1369</v>
      </c>
      <c r="J194" s="5" t="s">
        <v>1370</v>
      </c>
      <c r="K194" s="5" t="s">
        <v>1371</v>
      </c>
      <c r="L194" s="5">
        <v>12</v>
      </c>
      <c r="M194" s="6">
        <f t="shared" ref="M194:M217" si="21">MAX(P194:T194)</f>
        <v>9</v>
      </c>
      <c r="N194" s="6" t="str">
        <f t="shared" ref="N194:N257" si="22">IF(M194&lt;=L194,"yes","OVER")</f>
        <v>yes</v>
      </c>
      <c r="O194" s="7"/>
      <c r="P194" s="8">
        <f t="shared" ref="P194:P217" si="23">IF(TRIM(G194)="",0,LEN(TRIM(G194))-LEN(SUBSTITUTE(TRIM(G194)," ",""))+1)</f>
        <v>9</v>
      </c>
      <c r="Q194" s="8">
        <f t="shared" ref="Q194:Q217" si="24">IF(TRIM(H194)="",0,LEN(TRIM(H194))-LEN(SUBSTITUTE(TRIM(H194)," ",""))+1)</f>
        <v>8</v>
      </c>
      <c r="R194" s="8">
        <f t="shared" ref="R194:R217" si="25">IF(TRIM(I194)="",0,LEN(TRIM(I194))-LEN(SUBSTITUTE(TRIM(I194)," ",""))+1)</f>
        <v>8</v>
      </c>
      <c r="S194" s="8">
        <f t="shared" ref="S194:S217" si="26">IF(TRIM(J194)="",0,LEN(TRIM(J194))-LEN(SUBSTITUTE(TRIM(J194)," ",""))+1)</f>
        <v>8</v>
      </c>
      <c r="T194" s="8">
        <f t="shared" ref="T194:T217" si="27">IF(TRIM(K194)="",0,LEN(TRIM(K194))-LEN(SUBSTITUTE(TRIM(K194)," ",""))+1)</f>
        <v>7</v>
      </c>
    </row>
    <row r="195" spans="1:20" ht="26.4" x14ac:dyDescent="0.3">
      <c r="A195" s="5" t="s">
        <v>1372</v>
      </c>
      <c r="B195" s="5" t="s">
        <v>33</v>
      </c>
      <c r="C195" s="5" t="s">
        <v>1365</v>
      </c>
      <c r="D195" s="5" t="s">
        <v>527</v>
      </c>
      <c r="E195" s="5">
        <v>2</v>
      </c>
      <c r="F195" s="5" t="s">
        <v>1373</v>
      </c>
      <c r="G195" s="5" t="s">
        <v>1374</v>
      </c>
      <c r="H195" s="5" t="s">
        <v>1375</v>
      </c>
      <c r="I195" s="5" t="s">
        <v>1376</v>
      </c>
      <c r="J195" s="5" t="s">
        <v>1377</v>
      </c>
      <c r="K195" s="5" t="s">
        <v>1378</v>
      </c>
      <c r="L195" s="5">
        <v>12</v>
      </c>
      <c r="M195" s="6">
        <f t="shared" si="21"/>
        <v>9</v>
      </c>
      <c r="N195" s="6" t="str">
        <f t="shared" si="22"/>
        <v>yes</v>
      </c>
      <c r="O195" s="7"/>
      <c r="P195" s="8">
        <f t="shared" si="23"/>
        <v>9</v>
      </c>
      <c r="Q195" s="8">
        <f t="shared" si="24"/>
        <v>7</v>
      </c>
      <c r="R195" s="8">
        <f t="shared" si="25"/>
        <v>8</v>
      </c>
      <c r="S195" s="8">
        <f t="shared" si="26"/>
        <v>7</v>
      </c>
      <c r="T195" s="8">
        <f t="shared" si="27"/>
        <v>6</v>
      </c>
    </row>
    <row r="196" spans="1:20" ht="26.4" x14ac:dyDescent="0.3">
      <c r="A196" s="5" t="s">
        <v>1379</v>
      </c>
      <c r="B196" s="5" t="s">
        <v>33</v>
      </c>
      <c r="C196" s="5" t="s">
        <v>1365</v>
      </c>
      <c r="D196" s="5" t="s">
        <v>527</v>
      </c>
      <c r="E196" s="5">
        <v>3</v>
      </c>
      <c r="F196" s="5" t="s">
        <v>1380</v>
      </c>
      <c r="G196" s="5" t="s">
        <v>1381</v>
      </c>
      <c r="H196" s="5" t="s">
        <v>1382</v>
      </c>
      <c r="I196" s="5" t="s">
        <v>1383</v>
      </c>
      <c r="J196" s="5" t="s">
        <v>1384</v>
      </c>
      <c r="K196" s="5" t="s">
        <v>1385</v>
      </c>
      <c r="L196" s="5">
        <v>12</v>
      </c>
      <c r="M196" s="6">
        <f t="shared" si="21"/>
        <v>8</v>
      </c>
      <c r="N196" s="6" t="str">
        <f t="shared" si="22"/>
        <v>yes</v>
      </c>
      <c r="O196" s="7"/>
      <c r="P196" s="8">
        <f t="shared" si="23"/>
        <v>8</v>
      </c>
      <c r="Q196" s="8">
        <f t="shared" si="24"/>
        <v>6</v>
      </c>
      <c r="R196" s="8">
        <f t="shared" si="25"/>
        <v>5</v>
      </c>
      <c r="S196" s="8">
        <f t="shared" si="26"/>
        <v>8</v>
      </c>
      <c r="T196" s="8">
        <f t="shared" si="27"/>
        <v>8</v>
      </c>
    </row>
    <row r="197" spans="1:20" ht="26.4" x14ac:dyDescent="0.3">
      <c r="A197" s="5" t="s">
        <v>1386</v>
      </c>
      <c r="B197" s="5" t="s">
        <v>33</v>
      </c>
      <c r="C197" s="5" t="s">
        <v>1365</v>
      </c>
      <c r="D197" s="5" t="s">
        <v>527</v>
      </c>
      <c r="E197" s="5">
        <v>4</v>
      </c>
      <c r="F197" s="5" t="s">
        <v>1387</v>
      </c>
      <c r="G197" s="5" t="s">
        <v>1388</v>
      </c>
      <c r="H197" s="5" t="s">
        <v>1389</v>
      </c>
      <c r="I197" s="5" t="s">
        <v>1390</v>
      </c>
      <c r="J197" s="5" t="s">
        <v>1391</v>
      </c>
      <c r="K197" s="5" t="s">
        <v>1392</v>
      </c>
      <c r="L197" s="5">
        <v>12</v>
      </c>
      <c r="M197" s="6">
        <f t="shared" si="21"/>
        <v>7</v>
      </c>
      <c r="N197" s="6" t="str">
        <f t="shared" si="22"/>
        <v>yes</v>
      </c>
      <c r="O197" s="7"/>
      <c r="P197" s="8">
        <f t="shared" si="23"/>
        <v>6</v>
      </c>
      <c r="Q197" s="8">
        <f t="shared" si="24"/>
        <v>6</v>
      </c>
      <c r="R197" s="8">
        <f t="shared" si="25"/>
        <v>5</v>
      </c>
      <c r="S197" s="8">
        <f t="shared" si="26"/>
        <v>6</v>
      </c>
      <c r="T197" s="8">
        <f t="shared" si="27"/>
        <v>7</v>
      </c>
    </row>
    <row r="198" spans="1:20" ht="26.4" x14ac:dyDescent="0.3">
      <c r="A198" s="5" t="s">
        <v>1393</v>
      </c>
      <c r="B198" s="5" t="s">
        <v>64</v>
      </c>
      <c r="C198" s="5" t="s">
        <v>1365</v>
      </c>
      <c r="D198" s="5" t="s">
        <v>527</v>
      </c>
      <c r="E198" s="5">
        <v>1</v>
      </c>
      <c r="F198" s="5" t="s">
        <v>1394</v>
      </c>
      <c r="G198" s="5" t="s">
        <v>1395</v>
      </c>
      <c r="H198" s="5" t="s">
        <v>1396</v>
      </c>
      <c r="I198" s="5" t="s">
        <v>1397</v>
      </c>
      <c r="J198" s="5" t="s">
        <v>1398</v>
      </c>
      <c r="K198" s="5" t="s">
        <v>1399</v>
      </c>
      <c r="L198" s="5">
        <v>12</v>
      </c>
      <c r="M198" s="6">
        <f t="shared" si="21"/>
        <v>8</v>
      </c>
      <c r="N198" s="6" t="str">
        <f t="shared" si="22"/>
        <v>yes</v>
      </c>
      <c r="O198" s="7"/>
      <c r="P198" s="8">
        <f t="shared" si="23"/>
        <v>8</v>
      </c>
      <c r="Q198" s="8">
        <f t="shared" si="24"/>
        <v>7</v>
      </c>
      <c r="R198" s="8">
        <f t="shared" si="25"/>
        <v>7</v>
      </c>
      <c r="S198" s="8">
        <f t="shared" si="26"/>
        <v>7</v>
      </c>
      <c r="T198" s="8">
        <f t="shared" si="27"/>
        <v>7</v>
      </c>
    </row>
    <row r="199" spans="1:20" ht="26.4" x14ac:dyDescent="0.3">
      <c r="A199" s="5" t="s">
        <v>1400</v>
      </c>
      <c r="B199" s="5" t="s">
        <v>64</v>
      </c>
      <c r="C199" s="5" t="s">
        <v>1365</v>
      </c>
      <c r="D199" s="5" t="s">
        <v>527</v>
      </c>
      <c r="E199" s="5">
        <v>2</v>
      </c>
      <c r="F199" s="5" t="s">
        <v>1401</v>
      </c>
      <c r="G199" s="5" t="s">
        <v>1402</v>
      </c>
      <c r="H199" s="5" t="s">
        <v>1403</v>
      </c>
      <c r="I199" s="5" t="s">
        <v>1404</v>
      </c>
      <c r="J199" s="5" t="s">
        <v>1405</v>
      </c>
      <c r="K199" s="5" t="s">
        <v>1406</v>
      </c>
      <c r="L199" s="5">
        <v>12</v>
      </c>
      <c r="M199" s="6">
        <f t="shared" si="21"/>
        <v>9</v>
      </c>
      <c r="N199" s="6" t="str">
        <f t="shared" si="22"/>
        <v>yes</v>
      </c>
      <c r="O199" s="7"/>
      <c r="P199" s="8">
        <f t="shared" si="23"/>
        <v>9</v>
      </c>
      <c r="Q199" s="8">
        <f t="shared" si="24"/>
        <v>8</v>
      </c>
      <c r="R199" s="8">
        <f t="shared" si="25"/>
        <v>5</v>
      </c>
      <c r="S199" s="8">
        <f t="shared" si="26"/>
        <v>6</v>
      </c>
      <c r="T199" s="8">
        <f t="shared" si="27"/>
        <v>8</v>
      </c>
    </row>
    <row r="200" spans="1:20" ht="26.4" x14ac:dyDescent="0.3">
      <c r="A200" s="5" t="s">
        <v>1407</v>
      </c>
      <c r="B200" s="5" t="s">
        <v>64</v>
      </c>
      <c r="C200" s="5" t="s">
        <v>1365</v>
      </c>
      <c r="D200" s="5" t="s">
        <v>527</v>
      </c>
      <c r="E200" s="5">
        <v>3</v>
      </c>
      <c r="F200" s="5" t="s">
        <v>1408</v>
      </c>
      <c r="G200" s="5" t="s">
        <v>1409</v>
      </c>
      <c r="H200" s="5" t="s">
        <v>1410</v>
      </c>
      <c r="I200" s="5" t="s">
        <v>1411</v>
      </c>
      <c r="J200" s="5" t="s">
        <v>1412</v>
      </c>
      <c r="K200" s="5" t="s">
        <v>1413</v>
      </c>
      <c r="L200" s="5">
        <v>12</v>
      </c>
      <c r="M200" s="6">
        <f t="shared" si="21"/>
        <v>9</v>
      </c>
      <c r="N200" s="6" t="str">
        <f t="shared" si="22"/>
        <v>yes</v>
      </c>
      <c r="O200" s="7"/>
      <c r="P200" s="8">
        <f t="shared" si="23"/>
        <v>6</v>
      </c>
      <c r="Q200" s="8">
        <f t="shared" si="24"/>
        <v>5</v>
      </c>
      <c r="R200" s="8">
        <f t="shared" si="25"/>
        <v>7</v>
      </c>
      <c r="S200" s="8">
        <f t="shared" si="26"/>
        <v>6</v>
      </c>
      <c r="T200" s="8">
        <f t="shared" si="27"/>
        <v>9</v>
      </c>
    </row>
    <row r="201" spans="1:20" ht="26.4" x14ac:dyDescent="0.3">
      <c r="A201" s="5" t="s">
        <v>1414</v>
      </c>
      <c r="B201" s="5" t="s">
        <v>64</v>
      </c>
      <c r="C201" s="5" t="s">
        <v>1365</v>
      </c>
      <c r="D201" s="5" t="s">
        <v>527</v>
      </c>
      <c r="E201" s="5">
        <v>4</v>
      </c>
      <c r="F201" s="5" t="s">
        <v>1415</v>
      </c>
      <c r="G201" s="5" t="s">
        <v>1416</v>
      </c>
      <c r="H201" s="5" t="s">
        <v>1417</v>
      </c>
      <c r="I201" s="5" t="s">
        <v>1418</v>
      </c>
      <c r="J201" s="5" t="s">
        <v>1419</v>
      </c>
      <c r="K201" s="5" t="s">
        <v>1420</v>
      </c>
      <c r="L201" s="5">
        <v>12</v>
      </c>
      <c r="M201" s="6">
        <f t="shared" si="21"/>
        <v>8</v>
      </c>
      <c r="N201" s="6" t="str">
        <f t="shared" si="22"/>
        <v>yes</v>
      </c>
      <c r="O201" s="7"/>
      <c r="P201" s="8">
        <f t="shared" si="23"/>
        <v>6</v>
      </c>
      <c r="Q201" s="8">
        <f t="shared" si="24"/>
        <v>7</v>
      </c>
      <c r="R201" s="8">
        <f t="shared" si="25"/>
        <v>8</v>
      </c>
      <c r="S201" s="8">
        <f t="shared" si="26"/>
        <v>7</v>
      </c>
      <c r="T201" s="8">
        <f t="shared" si="27"/>
        <v>8</v>
      </c>
    </row>
    <row r="202" spans="1:20" ht="26.4" x14ac:dyDescent="0.3">
      <c r="A202" s="5" t="s">
        <v>1421</v>
      </c>
      <c r="B202" s="5" t="s">
        <v>93</v>
      </c>
      <c r="C202" s="5" t="s">
        <v>1365</v>
      </c>
      <c r="D202" s="5" t="s">
        <v>527</v>
      </c>
      <c r="E202" s="5">
        <v>1</v>
      </c>
      <c r="F202" s="5" t="s">
        <v>1422</v>
      </c>
      <c r="G202" s="5" t="s">
        <v>1423</v>
      </c>
      <c r="H202" s="5" t="s">
        <v>1424</v>
      </c>
      <c r="I202" s="5" t="s">
        <v>1425</v>
      </c>
      <c r="J202" s="5" t="s">
        <v>1426</v>
      </c>
      <c r="K202" s="5" t="s">
        <v>1427</v>
      </c>
      <c r="L202" s="5">
        <v>12</v>
      </c>
      <c r="M202" s="6">
        <f t="shared" si="21"/>
        <v>7</v>
      </c>
      <c r="N202" s="6" t="str">
        <f t="shared" si="22"/>
        <v>yes</v>
      </c>
      <c r="O202" s="7"/>
      <c r="P202" s="8">
        <f t="shared" si="23"/>
        <v>6</v>
      </c>
      <c r="Q202" s="8">
        <f t="shared" si="24"/>
        <v>7</v>
      </c>
      <c r="R202" s="8">
        <f t="shared" si="25"/>
        <v>6</v>
      </c>
      <c r="S202" s="8">
        <f t="shared" si="26"/>
        <v>7</v>
      </c>
      <c r="T202" s="8">
        <f t="shared" si="27"/>
        <v>7</v>
      </c>
    </row>
    <row r="203" spans="1:20" ht="26.4" x14ac:dyDescent="0.3">
      <c r="A203" s="5" t="s">
        <v>1428</v>
      </c>
      <c r="B203" s="5" t="s">
        <v>93</v>
      </c>
      <c r="C203" s="5" t="s">
        <v>1365</v>
      </c>
      <c r="D203" s="5" t="s">
        <v>527</v>
      </c>
      <c r="E203" s="5">
        <v>2</v>
      </c>
      <c r="F203" s="5" t="s">
        <v>1429</v>
      </c>
      <c r="G203" s="5" t="s">
        <v>1430</v>
      </c>
      <c r="H203" s="5" t="s">
        <v>1431</v>
      </c>
      <c r="I203" s="5" t="s">
        <v>1432</v>
      </c>
      <c r="J203" s="5" t="s">
        <v>1433</v>
      </c>
      <c r="K203" s="5" t="s">
        <v>1434</v>
      </c>
      <c r="L203" s="5">
        <v>12</v>
      </c>
      <c r="M203" s="6">
        <f t="shared" si="21"/>
        <v>7</v>
      </c>
      <c r="N203" s="6" t="str">
        <f t="shared" si="22"/>
        <v>yes</v>
      </c>
      <c r="O203" s="7"/>
      <c r="P203" s="8">
        <f t="shared" si="23"/>
        <v>6</v>
      </c>
      <c r="Q203" s="8">
        <f t="shared" si="24"/>
        <v>6</v>
      </c>
      <c r="R203" s="8">
        <f t="shared" si="25"/>
        <v>6</v>
      </c>
      <c r="S203" s="8">
        <f t="shared" si="26"/>
        <v>5</v>
      </c>
      <c r="T203" s="8">
        <f t="shared" si="27"/>
        <v>7</v>
      </c>
    </row>
    <row r="204" spans="1:20" ht="26.4" x14ac:dyDescent="0.3">
      <c r="A204" s="5" t="s">
        <v>1435</v>
      </c>
      <c r="B204" s="5" t="s">
        <v>93</v>
      </c>
      <c r="C204" s="5" t="s">
        <v>1365</v>
      </c>
      <c r="D204" s="5" t="s">
        <v>527</v>
      </c>
      <c r="E204" s="5">
        <v>3</v>
      </c>
      <c r="F204" s="5" t="s">
        <v>1436</v>
      </c>
      <c r="G204" s="5" t="s">
        <v>1437</v>
      </c>
      <c r="H204" s="5" t="s">
        <v>1438</v>
      </c>
      <c r="I204" s="5" t="s">
        <v>1439</v>
      </c>
      <c r="J204" s="5" t="s">
        <v>1440</v>
      </c>
      <c r="K204" s="5" t="s">
        <v>1441</v>
      </c>
      <c r="L204" s="5">
        <v>12</v>
      </c>
      <c r="M204" s="6">
        <f t="shared" si="21"/>
        <v>9</v>
      </c>
      <c r="N204" s="6" t="str">
        <f t="shared" si="22"/>
        <v>yes</v>
      </c>
      <c r="O204" s="7"/>
      <c r="P204" s="8">
        <f t="shared" si="23"/>
        <v>9</v>
      </c>
      <c r="Q204" s="8">
        <f t="shared" si="24"/>
        <v>8</v>
      </c>
      <c r="R204" s="8">
        <f t="shared" si="25"/>
        <v>7</v>
      </c>
      <c r="S204" s="8">
        <f t="shared" si="26"/>
        <v>7</v>
      </c>
      <c r="T204" s="8">
        <f t="shared" si="27"/>
        <v>8</v>
      </c>
    </row>
    <row r="205" spans="1:20" ht="26.4" x14ac:dyDescent="0.3">
      <c r="A205" s="5" t="s">
        <v>1442</v>
      </c>
      <c r="B205" s="5" t="s">
        <v>93</v>
      </c>
      <c r="C205" s="5" t="s">
        <v>1365</v>
      </c>
      <c r="D205" s="5" t="s">
        <v>527</v>
      </c>
      <c r="E205" s="5">
        <v>4</v>
      </c>
      <c r="F205" s="5" t="s">
        <v>1443</v>
      </c>
      <c r="G205" s="5" t="s">
        <v>1444</v>
      </c>
      <c r="H205" s="5" t="s">
        <v>1445</v>
      </c>
      <c r="I205" s="5" t="s">
        <v>1446</v>
      </c>
      <c r="J205" s="5" t="s">
        <v>1447</v>
      </c>
      <c r="K205" s="5" t="s">
        <v>1448</v>
      </c>
      <c r="L205" s="5">
        <v>12</v>
      </c>
      <c r="M205" s="6">
        <f t="shared" si="21"/>
        <v>9</v>
      </c>
      <c r="N205" s="6" t="str">
        <f t="shared" si="22"/>
        <v>yes</v>
      </c>
      <c r="O205" s="7"/>
      <c r="P205" s="8">
        <f t="shared" si="23"/>
        <v>7</v>
      </c>
      <c r="Q205" s="8">
        <f t="shared" si="24"/>
        <v>9</v>
      </c>
      <c r="R205" s="8">
        <f t="shared" si="25"/>
        <v>7</v>
      </c>
      <c r="S205" s="8">
        <f t="shared" si="26"/>
        <v>8</v>
      </c>
      <c r="T205" s="8">
        <f t="shared" si="27"/>
        <v>8</v>
      </c>
    </row>
    <row r="206" spans="1:20" ht="26.4" x14ac:dyDescent="0.3">
      <c r="A206" s="5" t="s">
        <v>1449</v>
      </c>
      <c r="B206" s="5" t="s">
        <v>123</v>
      </c>
      <c r="C206" s="5" t="s">
        <v>1365</v>
      </c>
      <c r="D206" s="5" t="s">
        <v>527</v>
      </c>
      <c r="E206" s="5">
        <v>1</v>
      </c>
      <c r="F206" s="5" t="s">
        <v>1450</v>
      </c>
      <c r="G206" s="5" t="s">
        <v>1451</v>
      </c>
      <c r="H206" s="5" t="s">
        <v>1452</v>
      </c>
      <c r="I206" s="5" t="s">
        <v>1453</v>
      </c>
      <c r="J206" s="5" t="s">
        <v>1454</v>
      </c>
      <c r="K206" s="5" t="s">
        <v>1455</v>
      </c>
      <c r="L206" s="5">
        <v>12</v>
      </c>
      <c r="M206" s="6">
        <f t="shared" si="21"/>
        <v>9</v>
      </c>
      <c r="N206" s="6" t="str">
        <f t="shared" si="22"/>
        <v>yes</v>
      </c>
      <c r="O206" s="7"/>
      <c r="P206" s="8">
        <f t="shared" si="23"/>
        <v>8</v>
      </c>
      <c r="Q206" s="8">
        <f t="shared" si="24"/>
        <v>6</v>
      </c>
      <c r="R206" s="8">
        <f t="shared" si="25"/>
        <v>6</v>
      </c>
      <c r="S206" s="8">
        <f t="shared" si="26"/>
        <v>7</v>
      </c>
      <c r="T206" s="8">
        <f t="shared" si="27"/>
        <v>9</v>
      </c>
    </row>
    <row r="207" spans="1:20" ht="26.4" x14ac:dyDescent="0.3">
      <c r="A207" s="5" t="s">
        <v>1456</v>
      </c>
      <c r="B207" s="5" t="s">
        <v>123</v>
      </c>
      <c r="C207" s="5" t="s">
        <v>1365</v>
      </c>
      <c r="D207" s="5" t="s">
        <v>527</v>
      </c>
      <c r="E207" s="5">
        <v>2</v>
      </c>
      <c r="F207" s="5" t="s">
        <v>1457</v>
      </c>
      <c r="G207" s="5" t="s">
        <v>1458</v>
      </c>
      <c r="H207" s="5" t="s">
        <v>1459</v>
      </c>
      <c r="I207" s="5" t="s">
        <v>1460</v>
      </c>
      <c r="J207" s="5" t="s">
        <v>1461</v>
      </c>
      <c r="K207" s="5" t="s">
        <v>1462</v>
      </c>
      <c r="L207" s="5">
        <v>12</v>
      </c>
      <c r="M207" s="6">
        <f t="shared" si="21"/>
        <v>9</v>
      </c>
      <c r="N207" s="6" t="str">
        <f t="shared" si="22"/>
        <v>yes</v>
      </c>
      <c r="O207" s="7"/>
      <c r="P207" s="8">
        <f t="shared" si="23"/>
        <v>7</v>
      </c>
      <c r="Q207" s="8">
        <f t="shared" si="24"/>
        <v>7</v>
      </c>
      <c r="R207" s="8">
        <f t="shared" si="25"/>
        <v>8</v>
      </c>
      <c r="S207" s="8">
        <f t="shared" si="26"/>
        <v>7</v>
      </c>
      <c r="T207" s="8">
        <f t="shared" si="27"/>
        <v>9</v>
      </c>
    </row>
    <row r="208" spans="1:20" ht="26.4" x14ac:dyDescent="0.3">
      <c r="A208" s="5" t="s">
        <v>1463</v>
      </c>
      <c r="B208" s="5" t="s">
        <v>123</v>
      </c>
      <c r="C208" s="5" t="s">
        <v>1365</v>
      </c>
      <c r="D208" s="5" t="s">
        <v>527</v>
      </c>
      <c r="E208" s="5">
        <v>3</v>
      </c>
      <c r="F208" s="5" t="s">
        <v>1464</v>
      </c>
      <c r="G208" s="5" t="s">
        <v>1465</v>
      </c>
      <c r="H208" s="5" t="s">
        <v>1466</v>
      </c>
      <c r="I208" s="5" t="s">
        <v>1467</v>
      </c>
      <c r="J208" s="5" t="s">
        <v>1468</v>
      </c>
      <c r="K208" s="5" t="s">
        <v>1469</v>
      </c>
      <c r="L208" s="5">
        <v>12</v>
      </c>
      <c r="M208" s="6">
        <f t="shared" si="21"/>
        <v>7</v>
      </c>
      <c r="N208" s="6" t="str">
        <f t="shared" si="22"/>
        <v>yes</v>
      </c>
      <c r="O208" s="7"/>
      <c r="P208" s="8">
        <f t="shared" si="23"/>
        <v>6</v>
      </c>
      <c r="Q208" s="8">
        <f t="shared" si="24"/>
        <v>6</v>
      </c>
      <c r="R208" s="8">
        <f t="shared" si="25"/>
        <v>6</v>
      </c>
      <c r="S208" s="8">
        <f t="shared" si="26"/>
        <v>6</v>
      </c>
      <c r="T208" s="8">
        <f t="shared" si="27"/>
        <v>7</v>
      </c>
    </row>
    <row r="209" spans="1:20" ht="26.4" x14ac:dyDescent="0.3">
      <c r="A209" s="5" t="s">
        <v>1470</v>
      </c>
      <c r="B209" s="5" t="s">
        <v>123</v>
      </c>
      <c r="C209" s="5" t="s">
        <v>1365</v>
      </c>
      <c r="D209" s="5" t="s">
        <v>527</v>
      </c>
      <c r="E209" s="5">
        <v>4</v>
      </c>
      <c r="F209" s="5" t="s">
        <v>1471</v>
      </c>
      <c r="G209" s="5" t="s">
        <v>1472</v>
      </c>
      <c r="H209" s="5" t="s">
        <v>1473</v>
      </c>
      <c r="I209" s="5" t="s">
        <v>1474</v>
      </c>
      <c r="J209" s="5" t="s">
        <v>1475</v>
      </c>
      <c r="K209" s="5" t="s">
        <v>1476</v>
      </c>
      <c r="L209" s="5">
        <v>12</v>
      </c>
      <c r="M209" s="6">
        <f t="shared" si="21"/>
        <v>7</v>
      </c>
      <c r="N209" s="6" t="str">
        <f t="shared" si="22"/>
        <v>yes</v>
      </c>
      <c r="O209" s="7"/>
      <c r="P209" s="8">
        <f t="shared" si="23"/>
        <v>7</v>
      </c>
      <c r="Q209" s="8">
        <f t="shared" si="24"/>
        <v>7</v>
      </c>
      <c r="R209" s="8">
        <f t="shared" si="25"/>
        <v>5</v>
      </c>
      <c r="S209" s="8">
        <f t="shared" si="26"/>
        <v>7</v>
      </c>
      <c r="T209" s="8">
        <f t="shared" si="27"/>
        <v>6</v>
      </c>
    </row>
    <row r="210" spans="1:20" ht="26.4" x14ac:dyDescent="0.3">
      <c r="A210" s="5" t="s">
        <v>1477</v>
      </c>
      <c r="B210" s="5" t="s">
        <v>152</v>
      </c>
      <c r="C210" s="5" t="s">
        <v>1365</v>
      </c>
      <c r="D210" s="5" t="s">
        <v>527</v>
      </c>
      <c r="E210" s="5">
        <v>1</v>
      </c>
      <c r="F210" s="5" t="s">
        <v>1478</v>
      </c>
      <c r="G210" s="5" t="s">
        <v>1479</v>
      </c>
      <c r="H210" s="5" t="s">
        <v>1480</v>
      </c>
      <c r="I210" s="5" t="s">
        <v>1481</v>
      </c>
      <c r="J210" s="5" t="s">
        <v>1482</v>
      </c>
      <c r="K210" s="5" t="s">
        <v>1483</v>
      </c>
      <c r="L210" s="5">
        <v>12</v>
      </c>
      <c r="M210" s="6">
        <f t="shared" si="21"/>
        <v>8</v>
      </c>
      <c r="N210" s="6" t="str">
        <f t="shared" si="22"/>
        <v>yes</v>
      </c>
      <c r="O210" s="7"/>
      <c r="P210" s="8">
        <f t="shared" si="23"/>
        <v>8</v>
      </c>
      <c r="Q210" s="8">
        <f t="shared" si="24"/>
        <v>8</v>
      </c>
      <c r="R210" s="8">
        <f t="shared" si="25"/>
        <v>8</v>
      </c>
      <c r="S210" s="8">
        <f t="shared" si="26"/>
        <v>6</v>
      </c>
      <c r="T210" s="8">
        <f t="shared" si="27"/>
        <v>8</v>
      </c>
    </row>
    <row r="211" spans="1:20" ht="26.4" x14ac:dyDescent="0.3">
      <c r="A211" s="5" t="s">
        <v>1484</v>
      </c>
      <c r="B211" s="5" t="s">
        <v>152</v>
      </c>
      <c r="C211" s="5" t="s">
        <v>1365</v>
      </c>
      <c r="D211" s="5" t="s">
        <v>527</v>
      </c>
      <c r="E211" s="5">
        <v>2</v>
      </c>
      <c r="F211" s="5" t="s">
        <v>1485</v>
      </c>
      <c r="G211" s="5" t="s">
        <v>1486</v>
      </c>
      <c r="H211" s="5" t="s">
        <v>1487</v>
      </c>
      <c r="I211" s="5" t="s">
        <v>1488</v>
      </c>
      <c r="J211" s="5" t="s">
        <v>1489</v>
      </c>
      <c r="K211" s="5" t="s">
        <v>1490</v>
      </c>
      <c r="L211" s="5">
        <v>12</v>
      </c>
      <c r="M211" s="6">
        <f t="shared" si="21"/>
        <v>7</v>
      </c>
      <c r="N211" s="6" t="str">
        <f t="shared" si="22"/>
        <v>yes</v>
      </c>
      <c r="O211" s="7"/>
      <c r="P211" s="8">
        <f t="shared" si="23"/>
        <v>6</v>
      </c>
      <c r="Q211" s="8">
        <f t="shared" si="24"/>
        <v>7</v>
      </c>
      <c r="R211" s="8">
        <f t="shared" si="25"/>
        <v>7</v>
      </c>
      <c r="S211" s="8">
        <f t="shared" si="26"/>
        <v>7</v>
      </c>
      <c r="T211" s="8">
        <f t="shared" si="27"/>
        <v>7</v>
      </c>
    </row>
    <row r="212" spans="1:20" ht="26.4" x14ac:dyDescent="0.3">
      <c r="A212" s="5" t="s">
        <v>1491</v>
      </c>
      <c r="B212" s="5" t="s">
        <v>152</v>
      </c>
      <c r="C212" s="5" t="s">
        <v>1365</v>
      </c>
      <c r="D212" s="5" t="s">
        <v>527</v>
      </c>
      <c r="E212" s="5">
        <v>3</v>
      </c>
      <c r="F212" s="5" t="s">
        <v>1492</v>
      </c>
      <c r="G212" s="5" t="s">
        <v>1493</v>
      </c>
      <c r="H212" s="5" t="s">
        <v>1494</v>
      </c>
      <c r="I212" s="5" t="s">
        <v>1495</v>
      </c>
      <c r="J212" s="5" t="s">
        <v>1496</v>
      </c>
      <c r="K212" s="5" t="s">
        <v>1497</v>
      </c>
      <c r="L212" s="5">
        <v>12</v>
      </c>
      <c r="M212" s="6">
        <f t="shared" si="21"/>
        <v>7</v>
      </c>
      <c r="N212" s="6" t="str">
        <f t="shared" si="22"/>
        <v>yes</v>
      </c>
      <c r="O212" s="7"/>
      <c r="P212" s="8">
        <f t="shared" si="23"/>
        <v>5</v>
      </c>
      <c r="Q212" s="8">
        <f t="shared" si="24"/>
        <v>7</v>
      </c>
      <c r="R212" s="8">
        <f t="shared" si="25"/>
        <v>6</v>
      </c>
      <c r="S212" s="8">
        <f t="shared" si="26"/>
        <v>7</v>
      </c>
      <c r="T212" s="8">
        <f t="shared" si="27"/>
        <v>7</v>
      </c>
    </row>
    <row r="213" spans="1:20" ht="26.4" x14ac:dyDescent="0.3">
      <c r="A213" s="5" t="s">
        <v>1498</v>
      </c>
      <c r="B213" s="5" t="s">
        <v>152</v>
      </c>
      <c r="C213" s="5" t="s">
        <v>1365</v>
      </c>
      <c r="D213" s="5" t="s">
        <v>527</v>
      </c>
      <c r="E213" s="5">
        <v>4</v>
      </c>
      <c r="F213" s="5" t="s">
        <v>1499</v>
      </c>
      <c r="G213" s="5" t="s">
        <v>1500</v>
      </c>
      <c r="H213" s="5" t="s">
        <v>1501</v>
      </c>
      <c r="I213" s="5" t="s">
        <v>1502</v>
      </c>
      <c r="J213" s="5" t="s">
        <v>1503</v>
      </c>
      <c r="K213" s="5" t="s">
        <v>1504</v>
      </c>
      <c r="L213" s="5">
        <v>12</v>
      </c>
      <c r="M213" s="6">
        <f t="shared" si="21"/>
        <v>8</v>
      </c>
      <c r="N213" s="6" t="str">
        <f t="shared" si="22"/>
        <v>yes</v>
      </c>
      <c r="O213" s="7"/>
      <c r="P213" s="8">
        <f t="shared" si="23"/>
        <v>7</v>
      </c>
      <c r="Q213" s="8">
        <f t="shared" si="24"/>
        <v>8</v>
      </c>
      <c r="R213" s="8">
        <f t="shared" si="25"/>
        <v>6</v>
      </c>
      <c r="S213" s="8">
        <f t="shared" si="26"/>
        <v>6</v>
      </c>
      <c r="T213" s="8">
        <f t="shared" si="27"/>
        <v>7</v>
      </c>
    </row>
    <row r="214" spans="1:20" ht="26.4" x14ac:dyDescent="0.3">
      <c r="A214" s="5" t="s">
        <v>1505</v>
      </c>
      <c r="B214" s="5" t="s">
        <v>181</v>
      </c>
      <c r="C214" s="5" t="s">
        <v>1365</v>
      </c>
      <c r="D214" s="5" t="s">
        <v>527</v>
      </c>
      <c r="E214" s="5">
        <v>1</v>
      </c>
      <c r="F214" s="5" t="s">
        <v>1506</v>
      </c>
      <c r="G214" s="5" t="s">
        <v>1507</v>
      </c>
      <c r="H214" s="5" t="s">
        <v>1508</v>
      </c>
      <c r="I214" s="5" t="s">
        <v>1509</v>
      </c>
      <c r="J214" s="5" t="s">
        <v>1510</v>
      </c>
      <c r="K214" s="5" t="s">
        <v>1511</v>
      </c>
      <c r="L214" s="5">
        <v>12</v>
      </c>
      <c r="M214" s="6">
        <f t="shared" si="21"/>
        <v>9</v>
      </c>
      <c r="N214" s="6" t="str">
        <f t="shared" si="22"/>
        <v>yes</v>
      </c>
      <c r="O214" s="7"/>
      <c r="P214" s="8">
        <f t="shared" si="23"/>
        <v>7</v>
      </c>
      <c r="Q214" s="8">
        <f t="shared" si="24"/>
        <v>5</v>
      </c>
      <c r="R214" s="8">
        <f t="shared" si="25"/>
        <v>9</v>
      </c>
      <c r="S214" s="8">
        <f t="shared" si="26"/>
        <v>6</v>
      </c>
      <c r="T214" s="8">
        <f t="shared" si="27"/>
        <v>8</v>
      </c>
    </row>
    <row r="215" spans="1:20" ht="26.4" x14ac:dyDescent="0.3">
      <c r="A215" s="5" t="s">
        <v>1512</v>
      </c>
      <c r="B215" s="5" t="s">
        <v>181</v>
      </c>
      <c r="C215" s="5" t="s">
        <v>1365</v>
      </c>
      <c r="D215" s="5" t="s">
        <v>527</v>
      </c>
      <c r="E215" s="5">
        <v>2</v>
      </c>
      <c r="F215" s="5" t="s">
        <v>1513</v>
      </c>
      <c r="G215" s="5" t="s">
        <v>1514</v>
      </c>
      <c r="H215" s="5" t="s">
        <v>1515</v>
      </c>
      <c r="I215" s="5" t="s">
        <v>1516</v>
      </c>
      <c r="J215" s="5" t="s">
        <v>1517</v>
      </c>
      <c r="K215" s="5" t="s">
        <v>1518</v>
      </c>
      <c r="L215" s="5">
        <v>12</v>
      </c>
      <c r="M215" s="6">
        <f t="shared" si="21"/>
        <v>8</v>
      </c>
      <c r="N215" s="6" t="str">
        <f t="shared" si="22"/>
        <v>yes</v>
      </c>
      <c r="O215" s="7"/>
      <c r="P215" s="8">
        <f t="shared" si="23"/>
        <v>6</v>
      </c>
      <c r="Q215" s="8">
        <f t="shared" si="24"/>
        <v>6</v>
      </c>
      <c r="R215" s="8">
        <f t="shared" si="25"/>
        <v>5</v>
      </c>
      <c r="S215" s="8">
        <f t="shared" si="26"/>
        <v>6</v>
      </c>
      <c r="T215" s="8">
        <f t="shared" si="27"/>
        <v>8</v>
      </c>
    </row>
    <row r="216" spans="1:20" ht="26.4" x14ac:dyDescent="0.3">
      <c r="A216" s="5" t="s">
        <v>1519</v>
      </c>
      <c r="B216" s="5" t="s">
        <v>181</v>
      </c>
      <c r="C216" s="5" t="s">
        <v>1365</v>
      </c>
      <c r="D216" s="5" t="s">
        <v>527</v>
      </c>
      <c r="E216" s="5">
        <v>3</v>
      </c>
      <c r="F216" s="5" t="s">
        <v>1520</v>
      </c>
      <c r="G216" s="5" t="s">
        <v>1521</v>
      </c>
      <c r="H216" s="5" t="s">
        <v>1522</v>
      </c>
      <c r="I216" s="5" t="s">
        <v>1523</v>
      </c>
      <c r="J216" s="5" t="s">
        <v>1524</v>
      </c>
      <c r="K216" s="5" t="s">
        <v>1525</v>
      </c>
      <c r="L216" s="5">
        <v>12</v>
      </c>
      <c r="M216" s="6">
        <f t="shared" si="21"/>
        <v>6</v>
      </c>
      <c r="N216" s="6" t="str">
        <f t="shared" si="22"/>
        <v>yes</v>
      </c>
      <c r="O216" s="7"/>
      <c r="P216" s="8">
        <f t="shared" si="23"/>
        <v>6</v>
      </c>
      <c r="Q216" s="8">
        <f t="shared" si="24"/>
        <v>6</v>
      </c>
      <c r="R216" s="8">
        <f t="shared" si="25"/>
        <v>6</v>
      </c>
      <c r="S216" s="8">
        <f t="shared" si="26"/>
        <v>6</v>
      </c>
      <c r="T216" s="8">
        <f t="shared" si="27"/>
        <v>6</v>
      </c>
    </row>
    <row r="217" spans="1:20" ht="26.4" x14ac:dyDescent="0.3">
      <c r="A217" s="5" t="s">
        <v>1526</v>
      </c>
      <c r="B217" s="5" t="s">
        <v>181</v>
      </c>
      <c r="C217" s="5" t="s">
        <v>1365</v>
      </c>
      <c r="D217" s="5" t="s">
        <v>527</v>
      </c>
      <c r="E217" s="5">
        <v>4</v>
      </c>
      <c r="F217" s="5" t="s">
        <v>1527</v>
      </c>
      <c r="G217" s="5" t="s">
        <v>1528</v>
      </c>
      <c r="H217" s="5" t="s">
        <v>1529</v>
      </c>
      <c r="I217" s="5" t="s">
        <v>1530</v>
      </c>
      <c r="J217" s="5" t="s">
        <v>1531</v>
      </c>
      <c r="K217" s="5" t="s">
        <v>1532</v>
      </c>
      <c r="L217" s="5">
        <v>12</v>
      </c>
      <c r="M217" s="6">
        <f t="shared" si="21"/>
        <v>8</v>
      </c>
      <c r="N217" s="6" t="str">
        <f t="shared" si="22"/>
        <v>yes</v>
      </c>
      <c r="O217" s="7"/>
      <c r="P217" s="8">
        <f t="shared" si="23"/>
        <v>6</v>
      </c>
      <c r="Q217" s="8">
        <f t="shared" si="24"/>
        <v>8</v>
      </c>
      <c r="R217" s="8">
        <f t="shared" si="25"/>
        <v>4</v>
      </c>
      <c r="S217" s="8">
        <f t="shared" si="26"/>
        <v>6</v>
      </c>
      <c r="T217" s="8">
        <f t="shared" si="27"/>
        <v>7</v>
      </c>
    </row>
  </sheetData>
  <autoFilter ref="A1:O217" xr:uid="{00000000-0009-0000-0000-000001000000}"/>
  <conditionalFormatting sqref="G2:K217">
    <cfRule type="expression" dxfId="1" priority="2">
      <formula>IF(TRIM(G2)="",0,LEN(TRIM(G2))-LEN(SUBSTITUTE(TRIM(G2)," ",""))+1)&gt;$L2</formula>
    </cfRule>
  </conditionalFormatting>
  <conditionalFormatting sqref="N2:N217">
    <cfRule type="expression" dxfId="0" priority="3">
      <formula>$N2="OVER"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Question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Jamie Borley</cp:lastModifiedBy>
  <cp:revision>0</cp:revision>
  <dcterms:created xsi:type="dcterms:W3CDTF">2026-08-03T16:54:28Z</dcterms:created>
  <dcterms:modified xsi:type="dcterms:W3CDTF">2026-08-03T17:02:18Z</dcterms:modified>
  <dc:language>en-US</dc:language>
</cp:coreProperties>
</file>